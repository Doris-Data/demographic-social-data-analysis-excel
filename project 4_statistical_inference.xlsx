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 7290\OneDrive\Desktop\Simz\"/>
    </mc:Choice>
  </mc:AlternateContent>
  <xr:revisionPtr revIDLastSave="0" documentId="13_ncr:1_{BF11E2DB-F6D1-4267-BE1D-30C3847B969D}" xr6:coauthVersionLast="36" xr6:coauthVersionMax="36" xr10:uidLastSave="{00000000-0000-0000-0000-000000000000}"/>
  <bookViews>
    <workbookView xWindow="0" yWindow="0" windowWidth="19200" windowHeight="6810" firstSheet="2" activeTab="6" xr2:uid="{00000000-000D-0000-FFFF-FFFF00000000}"/>
  </bookViews>
  <sheets>
    <sheet name="cleaned_data" sheetId="5" r:id="rId1"/>
    <sheet name="Descriptive_Statistics" sheetId="12" r:id="rId2"/>
    <sheet name="Confidence_Interval" sheetId="13" r:id="rId3"/>
    <sheet name="T-test" sheetId="14" r:id="rId4"/>
    <sheet name="Chi-square" sheetId="15" r:id="rId5"/>
    <sheet name="Regression" sheetId="16" r:id="rId6"/>
    <sheet name="Sampling Awareness" sheetId="7" r:id="rId7"/>
  </sheets>
  <definedNames>
    <definedName name="ExternalData_3" localSheetId="0" hidden="1">cleaned_data!$A$1:$M$1501</definedName>
  </definedNames>
  <calcPr calcId="191029"/>
</workbook>
</file>

<file path=xl/calcChain.xml><?xml version="1.0" encoding="utf-8"?>
<calcChain xmlns="http://schemas.openxmlformats.org/spreadsheetml/2006/main">
  <c r="B13" i="15" l="1"/>
  <c r="F13" i="15"/>
  <c r="F17" i="15"/>
  <c r="E17" i="15"/>
  <c r="D17" i="15"/>
  <c r="C17" i="15"/>
  <c r="B17" i="15"/>
  <c r="F16" i="15"/>
  <c r="E16" i="15"/>
  <c r="D16" i="15"/>
  <c r="C16" i="15"/>
  <c r="B16" i="15"/>
  <c r="F15" i="15"/>
  <c r="E15" i="15"/>
  <c r="D15" i="15"/>
  <c r="C15" i="15"/>
  <c r="B15" i="15"/>
  <c r="F14" i="15"/>
  <c r="E14" i="15"/>
  <c r="D14" i="15"/>
  <c r="C14" i="15"/>
  <c r="B14" i="15"/>
  <c r="E13" i="15"/>
  <c r="D13" i="15"/>
  <c r="C13" i="15"/>
  <c r="E6" i="13"/>
  <c r="E8" i="13" s="1"/>
  <c r="B6" i="13"/>
  <c r="B8" i="13" s="1"/>
  <c r="G13" i="15" l="1"/>
  <c r="B19" i="15" s="1"/>
  <c r="E7" i="13"/>
  <c r="B7"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lean" description="Connection to the 'clean' query in the workbook." type="5" refreshedVersion="6" background="1">
    <dbPr connection="Provider=Microsoft.Mashup.OleDb.1;Data Source=$Workbook$;Location=clean;Extended Properties=&quot;&quot;" command="SELECT * FROM [clean]"/>
  </connection>
  <connection id="2" xr16:uid="{00000000-0015-0000-FFFF-FFFF01000000}" keepAlive="1" name="Query - cleaned_data" description="Connection to the 'cleaned_data' query in the workbook." type="5" refreshedVersion="6" background="1" saveData="1">
    <dbPr connection="Provider=Microsoft.Mashup.OleDb.1;Data Source=$Workbook$;Location=cleaned_data;Extended Properties=&quot;&quot;" command="SELECT * FROM [cleaned_data]"/>
  </connection>
  <connection id="3" xr16:uid="{00000000-0015-0000-FFFF-FFFF02000000}" keepAlive="1" name="Query - state median age" description="Connection to the 'state median age' query in the workbook." type="5" refreshedVersion="6" background="1" saveData="1">
    <dbPr connection="Provider=Microsoft.Mashup.OleDb.1;Data Source=$Workbook$;Location=state median age;Extended Properties=&quot;&quot;" command="SELECT * FROM [state median age]"/>
  </connection>
</connections>
</file>

<file path=xl/sharedStrings.xml><?xml version="1.0" encoding="utf-8"?>
<sst xmlns="http://schemas.openxmlformats.org/spreadsheetml/2006/main" count="10689" uniqueCount="2308">
  <si>
    <t>household_id</t>
  </si>
  <si>
    <t>respondent_name</t>
  </si>
  <si>
    <t>state</t>
  </si>
  <si>
    <t>age</t>
  </si>
  <si>
    <t>sex</t>
  </si>
  <si>
    <t>marital_status</t>
  </si>
  <si>
    <t>education_level</t>
  </si>
  <si>
    <t>employment_status</t>
  </si>
  <si>
    <t>monthly_income_naira</t>
  </si>
  <si>
    <t>household_size</t>
  </si>
  <si>
    <t>survey_date</t>
  </si>
  <si>
    <t>HH1199</t>
  </si>
  <si>
    <t>Titilayo Olawale</t>
  </si>
  <si>
    <t>Plateau</t>
  </si>
  <si>
    <t>Female</t>
  </si>
  <si>
    <t>Secondary</t>
  </si>
  <si>
    <t>Unemployed</t>
  </si>
  <si>
    <t>HH1743</t>
  </si>
  <si>
    <t>Ngozi Chukwu</t>
  </si>
  <si>
    <t>Widowed</t>
  </si>
  <si>
    <t>Employed</t>
  </si>
  <si>
    <t>HH1708</t>
  </si>
  <si>
    <t>Peace Chukwu</t>
  </si>
  <si>
    <t>HH1377</t>
  </si>
  <si>
    <t>Yusuf Bello</t>
  </si>
  <si>
    <t>Male</t>
  </si>
  <si>
    <t>Student</t>
  </si>
  <si>
    <t>HH2029</t>
  </si>
  <si>
    <t>Femi Nwosu</t>
  </si>
  <si>
    <t>Enugu</t>
  </si>
  <si>
    <t>HH2158</t>
  </si>
  <si>
    <t>Obinna Bello</t>
  </si>
  <si>
    <t>Divorced</t>
  </si>
  <si>
    <t>HH2479</t>
  </si>
  <si>
    <t>Titilayo Nwachukwu</t>
  </si>
  <si>
    <t>HH2308</t>
  </si>
  <si>
    <t>Damilare Suleiman</t>
  </si>
  <si>
    <t>Self-employed</t>
  </si>
  <si>
    <t>HH1085</t>
  </si>
  <si>
    <t>Zainab Nwosu</t>
  </si>
  <si>
    <t>Retired</t>
  </si>
  <si>
    <t>HH2194</t>
  </si>
  <si>
    <t>Segun Mohammed</t>
  </si>
  <si>
    <t>HH1016</t>
  </si>
  <si>
    <t>Wale Abubakar</t>
  </si>
  <si>
    <t>Ogun</t>
  </si>
  <si>
    <t>HH2337</t>
  </si>
  <si>
    <t>Rukayat Ibekwe</t>
  </si>
  <si>
    <t>HH1845</t>
  </si>
  <si>
    <t>Suleiman Ogunleye</t>
  </si>
  <si>
    <t>HH1083</t>
  </si>
  <si>
    <t>Ngozi Suleiman</t>
  </si>
  <si>
    <t>HH2360</t>
  </si>
  <si>
    <t>Ibrahim Abubakar</t>
  </si>
  <si>
    <t>HH2279</t>
  </si>
  <si>
    <t>Suleiman Adebayo</t>
  </si>
  <si>
    <t>HH1475</t>
  </si>
  <si>
    <t>Tunde Chukwu</t>
  </si>
  <si>
    <t>Married</t>
  </si>
  <si>
    <t>HH1050</t>
  </si>
  <si>
    <t>Yemisi Adebayo</t>
  </si>
  <si>
    <t>HH2147</t>
  </si>
  <si>
    <t>Yemisi Olawale</t>
  </si>
  <si>
    <t>HH1499</t>
  </si>
  <si>
    <t>Nnamdi Ibekwe</t>
  </si>
  <si>
    <t>HH1075</t>
  </si>
  <si>
    <t>Uche Chukwu</t>
  </si>
  <si>
    <t>HH1888</t>
  </si>
  <si>
    <t>Peace Aliyu</t>
  </si>
  <si>
    <t>Anambra</t>
  </si>
  <si>
    <t>HH2221</t>
  </si>
  <si>
    <t>HH2246</t>
  </si>
  <si>
    <t>HH1140</t>
  </si>
  <si>
    <t>Suleiman Balogun</t>
  </si>
  <si>
    <t>HH1807</t>
  </si>
  <si>
    <t>Musa Eze</t>
  </si>
  <si>
    <t>HH1324</t>
  </si>
  <si>
    <t>Chioma Chukwu</t>
  </si>
  <si>
    <t>HH1197</t>
  </si>
  <si>
    <t>Tunde Mohammed</t>
  </si>
  <si>
    <t>HH2237</t>
  </si>
  <si>
    <t>Yemisi Nwachukwu</t>
  </si>
  <si>
    <t>HH1194</t>
  </si>
  <si>
    <t>Segun Suleiman</t>
  </si>
  <si>
    <t>HH1352</t>
  </si>
  <si>
    <t>Chiamaka Adeyemi</t>
  </si>
  <si>
    <t>HH1378</t>
  </si>
  <si>
    <t>Yusuf Ogunleye</t>
  </si>
  <si>
    <t>Primary</t>
  </si>
  <si>
    <t>HH2228</t>
  </si>
  <si>
    <t>Nnamdi Balogun</t>
  </si>
  <si>
    <t>HH1232</t>
  </si>
  <si>
    <t>Titilayo Adeyemi</t>
  </si>
  <si>
    <t>HH1593</t>
  </si>
  <si>
    <t>Bola Ogunleye</t>
  </si>
  <si>
    <t>HH1069</t>
  </si>
  <si>
    <t>Amaka Aliyu</t>
  </si>
  <si>
    <t>HH1702</t>
  </si>
  <si>
    <t>Halima Yusuf</t>
  </si>
  <si>
    <t>Single</t>
  </si>
  <si>
    <t>HH2081</t>
  </si>
  <si>
    <t>Ifeanyi Okafor</t>
  </si>
  <si>
    <t>HH1972</t>
  </si>
  <si>
    <t>HH2415</t>
  </si>
  <si>
    <t>Aliyu Okonkwo</t>
  </si>
  <si>
    <t>Tertiary</t>
  </si>
  <si>
    <t>HH2474</t>
  </si>
  <si>
    <t>Titilayo Sani</t>
  </si>
  <si>
    <t>HH1745</t>
  </si>
  <si>
    <t>HH1198</t>
  </si>
  <si>
    <t>Ngozi Adebayo</t>
  </si>
  <si>
    <t>HH1703</t>
  </si>
  <si>
    <t>Ahmed Aliyu</t>
  </si>
  <si>
    <t>HH1472</t>
  </si>
  <si>
    <t>Bisi Aliyu</t>
  </si>
  <si>
    <t>HH1615</t>
  </si>
  <si>
    <t>Ngozi Mohammed</t>
  </si>
  <si>
    <t>Oyo</t>
  </si>
  <si>
    <t>HH1744</t>
  </si>
  <si>
    <t>Kano</t>
  </si>
  <si>
    <t>HH1780</t>
  </si>
  <si>
    <t>Ahmed Adebayo</t>
  </si>
  <si>
    <t>HH1221</t>
  </si>
  <si>
    <t>Bisi Suleiman</t>
  </si>
  <si>
    <t>HH1464</t>
  </si>
  <si>
    <t>Emeka Yusuf</t>
  </si>
  <si>
    <t>HH1330</t>
  </si>
  <si>
    <t>Kunle Yusuf</t>
  </si>
  <si>
    <t>HH1903</t>
  </si>
  <si>
    <t>Kemi Eze</t>
  </si>
  <si>
    <t>Rivers</t>
  </si>
  <si>
    <t>HH1188</t>
  </si>
  <si>
    <t>Fatima Adebayo</t>
  </si>
  <si>
    <t>HH1169</t>
  </si>
  <si>
    <t>Hauwa Nwachukwu</t>
  </si>
  <si>
    <t>HH1880</t>
  </si>
  <si>
    <t>Funke Chukwu</t>
  </si>
  <si>
    <t>HH1548</t>
  </si>
  <si>
    <t>Adaeze Adebayo</t>
  </si>
  <si>
    <t>HH1871</t>
  </si>
  <si>
    <t>HH1429</t>
  </si>
  <si>
    <t>Hauwa Mohammed</t>
  </si>
  <si>
    <t>HH1416</t>
  </si>
  <si>
    <t>Amaka Bello</t>
  </si>
  <si>
    <t>HH1070</t>
  </si>
  <si>
    <t>Emeka Chukwu</t>
  </si>
  <si>
    <t>HH2338</t>
  </si>
  <si>
    <t>Chioma Sani</t>
  </si>
  <si>
    <t>HH2126</t>
  </si>
  <si>
    <t>Zainab Abubakar</t>
  </si>
  <si>
    <t>HH1400</t>
  </si>
  <si>
    <t>Musa Chukwu</t>
  </si>
  <si>
    <t>HH1389</t>
  </si>
  <si>
    <t>Wale Okonkwo</t>
  </si>
  <si>
    <t>Delta</t>
  </si>
  <si>
    <t>HH1982</t>
  </si>
  <si>
    <t>Nnamdi Mohammed</t>
  </si>
  <si>
    <t>HH2071</t>
  </si>
  <si>
    <t>Chiamaka Sani</t>
  </si>
  <si>
    <t>HH1061</t>
  </si>
  <si>
    <t>Segun Abubakar</t>
  </si>
  <si>
    <t>HH2080</t>
  </si>
  <si>
    <t>Halima Ibekwe</t>
  </si>
  <si>
    <t>HH1566</t>
  </si>
  <si>
    <t>HH2213</t>
  </si>
  <si>
    <t>HH1774</t>
  </si>
  <si>
    <t>Uche Eze</t>
  </si>
  <si>
    <t>HH1578</t>
  </si>
  <si>
    <t>Bukola Adebayo</t>
  </si>
  <si>
    <t>HH2256</t>
  </si>
  <si>
    <t>HH1938</t>
  </si>
  <si>
    <t>Chioma Suleiman</t>
  </si>
  <si>
    <t>Kaduna</t>
  </si>
  <si>
    <t>HH1606</t>
  </si>
  <si>
    <t>Ngozi Bello</t>
  </si>
  <si>
    <t>HH2157</t>
  </si>
  <si>
    <t>Funke Bello</t>
  </si>
  <si>
    <t>HH2095</t>
  </si>
  <si>
    <t>Funke Aliyu</t>
  </si>
  <si>
    <t>HH1646</t>
  </si>
  <si>
    <t>Kunle Eze</t>
  </si>
  <si>
    <t>HH1004</t>
  </si>
  <si>
    <t>HH2352</t>
  </si>
  <si>
    <t>Halima Nwosu</t>
  </si>
  <si>
    <t>Lagos</t>
  </si>
  <si>
    <t>HH1170</t>
  </si>
  <si>
    <t>Aliyu Eze</t>
  </si>
  <si>
    <t>HH2035</t>
  </si>
  <si>
    <t>Chioma Okonkwo</t>
  </si>
  <si>
    <t>HH2488</t>
  </si>
  <si>
    <t>Adaeze Okafor</t>
  </si>
  <si>
    <t>HH2127</t>
  </si>
  <si>
    <t>Chinedu Yusuf</t>
  </si>
  <si>
    <t>HH1193</t>
  </si>
  <si>
    <t>Femi Ogunleye</t>
  </si>
  <si>
    <t>HH1318</t>
  </si>
  <si>
    <t>Femi Okafor</t>
  </si>
  <si>
    <t>HH1943</t>
  </si>
  <si>
    <t>Chinedu Olawale</t>
  </si>
  <si>
    <t>HH2357</t>
  </si>
  <si>
    <t>Bola Aliyu</t>
  </si>
  <si>
    <t>HH2492</t>
  </si>
  <si>
    <t>Bukola Olawale</t>
  </si>
  <si>
    <t>HH1612</t>
  </si>
  <si>
    <t>Grace Aliyu</t>
  </si>
  <si>
    <t>HH1800</t>
  </si>
  <si>
    <t>Bisi Mohammed</t>
  </si>
  <si>
    <t>HH2322</t>
  </si>
  <si>
    <t>Halima Adebayo</t>
  </si>
  <si>
    <t>HH2410</t>
  </si>
  <si>
    <t>Funke Ibekwe</t>
  </si>
  <si>
    <t>HH1913</t>
  </si>
  <si>
    <t>Aliyu Balogun</t>
  </si>
  <si>
    <t>HH1103</t>
  </si>
  <si>
    <t>Amaka Abubakar</t>
  </si>
  <si>
    <t>HH2119</t>
  </si>
  <si>
    <t>Chinedu Ogunleye</t>
  </si>
  <si>
    <t>HH1654</t>
  </si>
  <si>
    <t>Titilayo Chukwu</t>
  </si>
  <si>
    <t>HH1269</t>
  </si>
  <si>
    <t>Adaeze Nwachukwu</t>
  </si>
  <si>
    <t>HH1239</t>
  </si>
  <si>
    <t>HH2013</t>
  </si>
  <si>
    <t>Kemi Sani</t>
  </si>
  <si>
    <t>HH2285</t>
  </si>
  <si>
    <t>Adaeze Olawale</t>
  </si>
  <si>
    <t>HH1837</t>
  </si>
  <si>
    <t>Fatima Aliyu</t>
  </si>
  <si>
    <t>HH1266</t>
  </si>
  <si>
    <t>Tunde Okafor</t>
  </si>
  <si>
    <t>HH1602</t>
  </si>
  <si>
    <t>Emeka Olawale</t>
  </si>
  <si>
    <t>HH2275</t>
  </si>
  <si>
    <t>Segun Okafor</t>
  </si>
  <si>
    <t>HH1799</t>
  </si>
  <si>
    <t>Uche Bello</t>
  </si>
  <si>
    <t>HH1831</t>
  </si>
  <si>
    <t>Yusuf Chukwu</t>
  </si>
  <si>
    <t>HH1099</t>
  </si>
  <si>
    <t>Emeka Aliyu</t>
  </si>
  <si>
    <t>HH1554</t>
  </si>
  <si>
    <t>Chioma Adebayo</t>
  </si>
  <si>
    <t>HH1877</t>
  </si>
  <si>
    <t>Peace Ibekwe</t>
  </si>
  <si>
    <t>HH1600</t>
  </si>
  <si>
    <t>Zainab Bello</t>
  </si>
  <si>
    <t>HH1471</t>
  </si>
  <si>
    <t>Amaka Nwachukwu</t>
  </si>
  <si>
    <t>HH1264</t>
  </si>
  <si>
    <t>Bisi Bello</t>
  </si>
  <si>
    <t>HH1031</t>
  </si>
  <si>
    <t>Bisi Yusuf</t>
  </si>
  <si>
    <t>HH1570</t>
  </si>
  <si>
    <t>Ibrahim Ibekwe</t>
  </si>
  <si>
    <t>HH1806</t>
  </si>
  <si>
    <t>Ngozi Adeyemi</t>
  </si>
  <si>
    <t>HH1229</t>
  </si>
  <si>
    <t>Damilare Chukwu</t>
  </si>
  <si>
    <t>HH1947</t>
  </si>
  <si>
    <t>Ifeanyi Chukwu</t>
  </si>
  <si>
    <t>HH1997</t>
  </si>
  <si>
    <t>Zainab Ibekwe</t>
  </si>
  <si>
    <t>HH1840</t>
  </si>
  <si>
    <t>Rukayat Olawale</t>
  </si>
  <si>
    <t>HH1263</t>
  </si>
  <si>
    <t>Femi Abubakar</t>
  </si>
  <si>
    <t>HH1667</t>
  </si>
  <si>
    <t>Yemisi Sani</t>
  </si>
  <si>
    <t>HH1790</t>
  </si>
  <si>
    <t>Bukola Nwosu</t>
  </si>
  <si>
    <t>HH1819</t>
  </si>
  <si>
    <t>HH1204</t>
  </si>
  <si>
    <t>HH2063</t>
  </si>
  <si>
    <t>Halima Okoro</t>
  </si>
  <si>
    <t>HH2183</t>
  </si>
  <si>
    <t>Suleiman Mohammed</t>
  </si>
  <si>
    <t>HH1914</t>
  </si>
  <si>
    <t>Rukayat Nwachukwu</t>
  </si>
  <si>
    <t>HH1904</t>
  </si>
  <si>
    <t>Musa Adeyemi</t>
  </si>
  <si>
    <t>HH2132</t>
  </si>
  <si>
    <t>Nnamdi Olawale</t>
  </si>
  <si>
    <t>HH1268</t>
  </si>
  <si>
    <t>Suleiman Okonkwo</t>
  </si>
  <si>
    <t>HH1809</t>
  </si>
  <si>
    <t>Uche Ogunleye</t>
  </si>
  <si>
    <t>HH2022</t>
  </si>
  <si>
    <t>Chiamaka Nwosu</t>
  </si>
  <si>
    <t>HH1870</t>
  </si>
  <si>
    <t>HH1490</t>
  </si>
  <si>
    <t>Grace Sani</t>
  </si>
  <si>
    <t>HH1349</t>
  </si>
  <si>
    <t>Hauwa Okoro</t>
  </si>
  <si>
    <t>HH1846</t>
  </si>
  <si>
    <t>Grace Adeyemi</t>
  </si>
  <si>
    <t>HH1321</t>
  </si>
  <si>
    <t>Obinna Olawale</t>
  </si>
  <si>
    <t>HH1716</t>
  </si>
  <si>
    <t>Titilayo Nwosu</t>
  </si>
  <si>
    <t>HH2272</t>
  </si>
  <si>
    <t>Uche Olawale</t>
  </si>
  <si>
    <t>HH2177</t>
  </si>
  <si>
    <t>Nnamdi Bello</t>
  </si>
  <si>
    <t>HH1988</t>
  </si>
  <si>
    <t>HH2478</t>
  </si>
  <si>
    <t>Fatima Ogunleye</t>
  </si>
  <si>
    <t>HH2174</t>
  </si>
  <si>
    <t>Fatima Adeyemi</t>
  </si>
  <si>
    <t>HH2353</t>
  </si>
  <si>
    <t>HH1332</t>
  </si>
  <si>
    <t>HH2427</t>
  </si>
  <si>
    <t>HH2450</t>
  </si>
  <si>
    <t>Bukola Mohammed</t>
  </si>
  <si>
    <t>HH1577</t>
  </si>
  <si>
    <t>Ahmed Balogun</t>
  </si>
  <si>
    <t>HH1343</t>
  </si>
  <si>
    <t>Funke Balogun</t>
  </si>
  <si>
    <t>HH1381</t>
  </si>
  <si>
    <t>Grace Eze</t>
  </si>
  <si>
    <t>HH2402</t>
  </si>
  <si>
    <t>HH1881</t>
  </si>
  <si>
    <t>Fatima Yusuf</t>
  </si>
  <si>
    <t>HH1626</t>
  </si>
  <si>
    <t>Chinedu Adeyemi</t>
  </si>
  <si>
    <t>HH1131</t>
  </si>
  <si>
    <t>Musa Nwachukwu</t>
  </si>
  <si>
    <t>HH1247</t>
  </si>
  <si>
    <t>HH1500</t>
  </si>
  <si>
    <t>Hauwa Ogunleye</t>
  </si>
  <si>
    <t>Titilayo Adebayo</t>
  </si>
  <si>
    <t>HH1603</t>
  </si>
  <si>
    <t>HH2124</t>
  </si>
  <si>
    <t>Titilayo Balogun</t>
  </si>
  <si>
    <t>HH2437</t>
  </si>
  <si>
    <t>Uche Okoro</t>
  </si>
  <si>
    <t>Hauwa Adeyemi</t>
  </si>
  <si>
    <t>HH2200</t>
  </si>
  <si>
    <t>HH2358</t>
  </si>
  <si>
    <t>Uche Abubakar</t>
  </si>
  <si>
    <t>HH1620</t>
  </si>
  <si>
    <t>Bola Adebayo</t>
  </si>
  <si>
    <t>HH1822</t>
  </si>
  <si>
    <t>Peace Yusuf</t>
  </si>
  <si>
    <t>HH2087</t>
  </si>
  <si>
    <t>HH1121</t>
  </si>
  <si>
    <t>HH1456</t>
  </si>
  <si>
    <t>Chiamaka Chukwu</t>
  </si>
  <si>
    <t>HH1727</t>
  </si>
  <si>
    <t>HH1157</t>
  </si>
  <si>
    <t>Blessing Okoro</t>
  </si>
  <si>
    <t>HH1608</t>
  </si>
  <si>
    <t>Nnamdi Chukwu</t>
  </si>
  <si>
    <t>HH1919</t>
  </si>
  <si>
    <t>Bola Suleiman</t>
  </si>
  <si>
    <t>HH1216</t>
  </si>
  <si>
    <t>Aisha Okoro</t>
  </si>
  <si>
    <t>HH1065</t>
  </si>
  <si>
    <t>Ifeanyi Adeyemi</t>
  </si>
  <si>
    <t>HH1813</t>
  </si>
  <si>
    <t>Aisha Adebayo</t>
  </si>
  <si>
    <t>HH2310</t>
  </si>
  <si>
    <t>Tunde Olawale</t>
  </si>
  <si>
    <t>HH1884</t>
  </si>
  <si>
    <t>Chinedu Okoro</t>
  </si>
  <si>
    <t>HH1027</t>
  </si>
  <si>
    <t>Adaeze Okonkwo</t>
  </si>
  <si>
    <t>HH1963</t>
  </si>
  <si>
    <t>Funke Nwosu</t>
  </si>
  <si>
    <t>HH1107</t>
  </si>
  <si>
    <t>HH2367</t>
  </si>
  <si>
    <t>Ahmed Sani</t>
  </si>
  <si>
    <t>HH1150</t>
  </si>
  <si>
    <t>Obinna Okafor</t>
  </si>
  <si>
    <t>HH1040</t>
  </si>
  <si>
    <t>Kemi Yusuf</t>
  </si>
  <si>
    <t>HH2000</t>
  </si>
  <si>
    <t>HH1565</t>
  </si>
  <si>
    <t>Amaka Ibekwe</t>
  </si>
  <si>
    <t>HH2318</t>
  </si>
  <si>
    <t>Uche Balogun</t>
  </si>
  <si>
    <t>HH2209</t>
  </si>
  <si>
    <t>Bola Abubakar</t>
  </si>
  <si>
    <t>HH1303</t>
  </si>
  <si>
    <t>Bisi Nwachukwu</t>
  </si>
  <si>
    <t>HH1820</t>
  </si>
  <si>
    <t>Wale Okafor</t>
  </si>
  <si>
    <t>HH2067</t>
  </si>
  <si>
    <t>Chiamaka Okafor</t>
  </si>
  <si>
    <t>HH1293</t>
  </si>
  <si>
    <t>Blessing Ogunleye</t>
  </si>
  <si>
    <t>HH1424</t>
  </si>
  <si>
    <t>Suleiman Eze</t>
  </si>
  <si>
    <t>HH1290</t>
  </si>
  <si>
    <t>Bisi Ogunleye</t>
  </si>
  <si>
    <t>HH2091</t>
  </si>
  <si>
    <t>HH1498</t>
  </si>
  <si>
    <t>Suleiman Sani</t>
  </si>
  <si>
    <t>HH1915</t>
  </si>
  <si>
    <t>Obinna Aliyu</t>
  </si>
  <si>
    <t>HH2428</t>
  </si>
  <si>
    <t>Segun Bello</t>
  </si>
  <si>
    <t>HH1986</t>
  </si>
  <si>
    <t>Obinna Adebayo</t>
  </si>
  <si>
    <t>HH1671</t>
  </si>
  <si>
    <t>Yemisi Chukwu</t>
  </si>
  <si>
    <t>HH2296</t>
  </si>
  <si>
    <t>Kemi Bello</t>
  </si>
  <si>
    <t>HH2342</t>
  </si>
  <si>
    <t>Ifeanyi Okonkwo</t>
  </si>
  <si>
    <t>HH1749</t>
  </si>
  <si>
    <t>Fatima Okonkwo</t>
  </si>
  <si>
    <t>HH1003</t>
  </si>
  <si>
    <t>Bola Bello</t>
  </si>
  <si>
    <t>HH1073</t>
  </si>
  <si>
    <t>Emeka Nwachukwu</t>
  </si>
  <si>
    <t>HH1586</t>
  </si>
  <si>
    <t>Kelechi Nwosu</t>
  </si>
  <si>
    <t>HH1317</t>
  </si>
  <si>
    <t>Blessing Sani</t>
  </si>
  <si>
    <t>HH1006</t>
  </si>
  <si>
    <t>HH1087</t>
  </si>
  <si>
    <t>Tunde Sani</t>
  </si>
  <si>
    <t>HH1304</t>
  </si>
  <si>
    <t>Tunde Adeyemi</t>
  </si>
  <si>
    <t>HH2403</t>
  </si>
  <si>
    <t>Yemisi Okafor</t>
  </si>
  <si>
    <t>HH1529</t>
  </si>
  <si>
    <t>HH1148</t>
  </si>
  <si>
    <t>Ibrahim Adebayo</t>
  </si>
  <si>
    <t>HH1859</t>
  </si>
  <si>
    <t>Chioma Eze</t>
  </si>
  <si>
    <t>HH1160</t>
  </si>
  <si>
    <t>Rukayat Yusuf</t>
  </si>
  <si>
    <t>HH1973</t>
  </si>
  <si>
    <t>Suleiman Adeyemi</t>
  </si>
  <si>
    <t>HH1633</t>
  </si>
  <si>
    <t>Yusuf Okonkwo</t>
  </si>
  <si>
    <t>HH2356</t>
  </si>
  <si>
    <t>Kelechi Aliyu</t>
  </si>
  <si>
    <t>HH2121</t>
  </si>
  <si>
    <t>Aliyu Suleiman</t>
  </si>
  <si>
    <t>HH2365</t>
  </si>
  <si>
    <t>Yemisi Adeyemi</t>
  </si>
  <si>
    <t>HH1674</t>
  </si>
  <si>
    <t>Yemisi Eze</t>
  </si>
  <si>
    <t>HH1112</t>
  </si>
  <si>
    <t>Yemisi Suleiman</t>
  </si>
  <si>
    <t>HH2047</t>
  </si>
  <si>
    <t>HH1081</t>
  </si>
  <si>
    <t>Aisha Bello</t>
  </si>
  <si>
    <t>HH1849</t>
  </si>
  <si>
    <t>Obinna Abubakar</t>
  </si>
  <si>
    <t>HH1144</t>
  </si>
  <si>
    <t>HH2379</t>
  </si>
  <si>
    <t>Obinna Balogun</t>
  </si>
  <si>
    <t>HH1687</t>
  </si>
  <si>
    <t>Ibrahim Yusuf</t>
  </si>
  <si>
    <t>HH2362</t>
  </si>
  <si>
    <t>HH1611</t>
  </si>
  <si>
    <t>HH2170</t>
  </si>
  <si>
    <t>HH2107</t>
  </si>
  <si>
    <t>Titilayo Okafor</t>
  </si>
  <si>
    <t>HH1509</t>
  </si>
  <si>
    <t>Funke Adeyemi</t>
  </si>
  <si>
    <t>HH1137</t>
  </si>
  <si>
    <t>Ifeanyi Abubakar</t>
  </si>
  <si>
    <t>HH2207</t>
  </si>
  <si>
    <t>Bukola Adeyemi</t>
  </si>
  <si>
    <t>HH1987</t>
  </si>
  <si>
    <t>Damilare Olawale</t>
  </si>
  <si>
    <t>HH1573</t>
  </si>
  <si>
    <t>Kunle Nwachukwu</t>
  </si>
  <si>
    <t>HH1442</t>
  </si>
  <si>
    <t>Grace Abubakar</t>
  </si>
  <si>
    <t>HH1393</t>
  </si>
  <si>
    <t>Amaka Okoro</t>
  </si>
  <si>
    <t>HH2380</t>
  </si>
  <si>
    <t>Femi Mohammed</t>
  </si>
  <si>
    <t>HH1958</t>
  </si>
  <si>
    <t>Ibrahim Suleiman</t>
  </si>
  <si>
    <t>HH1001</t>
  </si>
  <si>
    <t>Peace Ogunleye</t>
  </si>
  <si>
    <t>HH1841</t>
  </si>
  <si>
    <t>HH2473</t>
  </si>
  <si>
    <t>HH1487</t>
  </si>
  <si>
    <t>Zainab Yusuf</t>
  </si>
  <si>
    <t>HH2167</t>
  </si>
  <si>
    <t>HH1492</t>
  </si>
  <si>
    <t>Damilare Yusuf</t>
  </si>
  <si>
    <t>HH2196</t>
  </si>
  <si>
    <t>HH2377</t>
  </si>
  <si>
    <t>Chinedu Okonkwo</t>
  </si>
  <si>
    <t>HH1562</t>
  </si>
  <si>
    <t>HH1362</t>
  </si>
  <si>
    <t>Rukayat Bello</t>
  </si>
  <si>
    <t>HH2052</t>
  </si>
  <si>
    <t>HH1350</t>
  </si>
  <si>
    <t>HH1355</t>
  </si>
  <si>
    <t>Rukayat Chukwu</t>
  </si>
  <si>
    <t>HH1187</t>
  </si>
  <si>
    <t>HH1709</t>
  </si>
  <si>
    <t>Aliyu Abubakar</t>
  </si>
  <si>
    <t>HH2006</t>
  </si>
  <si>
    <t>HH2486</t>
  </si>
  <si>
    <t>HH1248</t>
  </si>
  <si>
    <t>HH2141</t>
  </si>
  <si>
    <t>HH1755</t>
  </si>
  <si>
    <t>Funke Eze</t>
  </si>
  <si>
    <t>HH1180</t>
  </si>
  <si>
    <t>Chioma Abubakar</t>
  </si>
  <si>
    <t>HH1677</t>
  </si>
  <si>
    <t>Kunle Okoro</t>
  </si>
  <si>
    <t>HH1816</t>
  </si>
  <si>
    <t>Grace Okafor</t>
  </si>
  <si>
    <t>HH2123</t>
  </si>
  <si>
    <t>HH1956</t>
  </si>
  <si>
    <t>HH1316</t>
  </si>
  <si>
    <t>Aisha Okonkwo</t>
  </si>
  <si>
    <t>HH1186</t>
  </si>
  <si>
    <t>Yusuf Eze</t>
  </si>
  <si>
    <t>HH2390</t>
  </si>
  <si>
    <t>Zainab Aliyu</t>
  </si>
  <si>
    <t>HH1539</t>
  </si>
  <si>
    <t>HH1288</t>
  </si>
  <si>
    <t>Damilare Aliyu</t>
  </si>
  <si>
    <t>HH2263</t>
  </si>
  <si>
    <t>Segun Adeyemi</t>
  </si>
  <si>
    <t>HH1842</t>
  </si>
  <si>
    <t>HH1477</t>
  </si>
  <si>
    <t>Femi Suleiman</t>
  </si>
  <si>
    <t>HH1166</t>
  </si>
  <si>
    <t>Bisi Adebayo</t>
  </si>
  <si>
    <t>HH1086</t>
  </si>
  <si>
    <t>Blessing Adeyemi</t>
  </si>
  <si>
    <t>HH2459</t>
  </si>
  <si>
    <t>Musa Adebayo</t>
  </si>
  <si>
    <t>HH2465</t>
  </si>
  <si>
    <t>HH2414</t>
  </si>
  <si>
    <t>Yusuf Suleiman</t>
  </si>
  <si>
    <t>HH1616</t>
  </si>
  <si>
    <t>Nnamdi Okoro</t>
  </si>
  <si>
    <t>HH1522</t>
  </si>
  <si>
    <t>HH2355</t>
  </si>
  <si>
    <t>HH1123</t>
  </si>
  <si>
    <t>HH1637</t>
  </si>
  <si>
    <t>Chiamaka Eze</t>
  </si>
  <si>
    <t>HH1243</t>
  </si>
  <si>
    <t>Damilare Okafor</t>
  </si>
  <si>
    <t>HH1905</t>
  </si>
  <si>
    <t>HH2307</t>
  </si>
  <si>
    <t>Obinna Nwosu</t>
  </si>
  <si>
    <t>HH1504</t>
  </si>
  <si>
    <t>HH1231</t>
  </si>
  <si>
    <t>Chinedu Nwosu</t>
  </si>
  <si>
    <t>HH2175</t>
  </si>
  <si>
    <t>Emeka Ogunleye</t>
  </si>
  <si>
    <t>HH2452</t>
  </si>
  <si>
    <t>Amaka Nwosu</t>
  </si>
  <si>
    <t>HH2249</t>
  </si>
  <si>
    <t>HH2455</t>
  </si>
  <si>
    <t>Hauwa Sani</t>
  </si>
  <si>
    <t>HH1937</t>
  </si>
  <si>
    <t>Yemisi Mohammed</t>
  </si>
  <si>
    <t>HH2346</t>
  </si>
  <si>
    <t>Damilare Bello</t>
  </si>
  <si>
    <t>HH1631</t>
  </si>
  <si>
    <t>HH1262</t>
  </si>
  <si>
    <t>Chioma Okoro</t>
  </si>
  <si>
    <t>HH1057</t>
  </si>
  <si>
    <t>Aliyu Adebayo</t>
  </si>
  <si>
    <t>HH1249</t>
  </si>
  <si>
    <t>Kelechi Olawale</t>
  </si>
  <si>
    <t>HH1028</t>
  </si>
  <si>
    <t>Hauwa Suleiman</t>
  </si>
  <si>
    <t>HH1019</t>
  </si>
  <si>
    <t>HH2068</t>
  </si>
  <si>
    <t>Peace Balogun</t>
  </si>
  <si>
    <t>HH1783</t>
  </si>
  <si>
    <t>Obinna Sani</t>
  </si>
  <si>
    <t>HH1670</t>
  </si>
  <si>
    <t>Ahmed Bello</t>
  </si>
  <si>
    <t>HH1823</t>
  </si>
  <si>
    <t>HH1778</t>
  </si>
  <si>
    <t>HH1211</t>
  </si>
  <si>
    <t>Femi Sani</t>
  </si>
  <si>
    <t>HH1373</t>
  </si>
  <si>
    <t>Kunle Adebayo</t>
  </si>
  <si>
    <t>HH1568</t>
  </si>
  <si>
    <t>Kemi Okafor</t>
  </si>
  <si>
    <t>HH2241</t>
  </si>
  <si>
    <t>HH1675</t>
  </si>
  <si>
    <t>HH2311</t>
  </si>
  <si>
    <t>Hauwa Okonkwo</t>
  </si>
  <si>
    <t>HH2154</t>
  </si>
  <si>
    <t>Kemi Ogunleye</t>
  </si>
  <si>
    <t>HH1051</t>
  </si>
  <si>
    <t>Segun Nwachukwu</t>
  </si>
  <si>
    <t>HH2106</t>
  </si>
  <si>
    <t>Titilayo Bello</t>
  </si>
  <si>
    <t>HH1876</t>
  </si>
  <si>
    <t>HH1571</t>
  </si>
  <si>
    <t>Kunle Nwosu</t>
  </si>
  <si>
    <t>HH1058</t>
  </si>
  <si>
    <t>Kelechi Ibekwe</t>
  </si>
  <si>
    <t>HH1874</t>
  </si>
  <si>
    <t>Ahmed Abubakar</t>
  </si>
  <si>
    <t>HH1328</t>
  </si>
  <si>
    <t>HH1595</t>
  </si>
  <si>
    <t>Obinna Okoro</t>
  </si>
  <si>
    <t>HH1048</t>
  </si>
  <si>
    <t>Nnamdi Abubakar</t>
  </si>
  <si>
    <t>HH1965</t>
  </si>
  <si>
    <t>Aliyu Bello</t>
  </si>
  <si>
    <t>HH1042</t>
  </si>
  <si>
    <t>Tunde Nwosu</t>
  </si>
  <si>
    <t>HH2309</t>
  </si>
  <si>
    <t>Blessing Balogun</t>
  </si>
  <si>
    <t>HH2208</t>
  </si>
  <si>
    <t>Ifeanyi Olawale</t>
  </si>
  <si>
    <t>HH2253</t>
  </si>
  <si>
    <t>HH1821</t>
  </si>
  <si>
    <t>HH2314</t>
  </si>
  <si>
    <t>HH1126</t>
  </si>
  <si>
    <t>Aliyu Nwosu</t>
  </si>
  <si>
    <t>HH1411</t>
  </si>
  <si>
    <t>Yemisi Okonkwo</t>
  </si>
  <si>
    <t>HH1357</t>
  </si>
  <si>
    <t>Tunde Suleiman</t>
  </si>
  <si>
    <t>HH1587</t>
  </si>
  <si>
    <t>Grace Bello</t>
  </si>
  <si>
    <t>HH1981</t>
  </si>
  <si>
    <t>Ngozi Yusuf</t>
  </si>
  <si>
    <t>HH1712</t>
  </si>
  <si>
    <t>HH1312</t>
  </si>
  <si>
    <t>Rukayat Adeyemi</t>
  </si>
  <si>
    <t>HH2210</t>
  </si>
  <si>
    <t>Blessing Suleiman</t>
  </si>
  <si>
    <t>HH2059</t>
  </si>
  <si>
    <t>HH2451</t>
  </si>
  <si>
    <t>Kemi Aliyu</t>
  </si>
  <si>
    <t>HH1301</t>
  </si>
  <si>
    <t>Bisi Nwosu</t>
  </si>
  <si>
    <t>HH2031</t>
  </si>
  <si>
    <t>Halima Balogun</t>
  </si>
  <si>
    <t>HH1119</t>
  </si>
  <si>
    <t>Ngozi Aliyu</t>
  </si>
  <si>
    <t>HH1287</t>
  </si>
  <si>
    <t>Yusuf Sani</t>
  </si>
  <si>
    <t>HH1895</t>
  </si>
  <si>
    <t>Obinna Ibekwe</t>
  </si>
  <si>
    <t>HH2319</t>
  </si>
  <si>
    <t>HH2351</t>
  </si>
  <si>
    <t>Bisi Balogun</t>
  </si>
  <si>
    <t>HH1339</t>
  </si>
  <si>
    <t>Blessing Okonkwo</t>
  </si>
  <si>
    <t>HH1991</t>
  </si>
  <si>
    <t>Ibrahim Eze</t>
  </si>
  <si>
    <t>HH1030</t>
  </si>
  <si>
    <t>Halima Okonkwo</t>
  </si>
  <si>
    <t>HH1335</t>
  </si>
  <si>
    <t>Ifeanyi Mohammed</t>
  </si>
  <si>
    <t>HH1402</t>
  </si>
  <si>
    <t>Ahmed Okonkwo</t>
  </si>
  <si>
    <t>HH1201</t>
  </si>
  <si>
    <t>Peace Nwosu</t>
  </si>
  <si>
    <t>HH1374</t>
  </si>
  <si>
    <t>HH1710</t>
  </si>
  <si>
    <t>Wale Balogun</t>
  </si>
  <si>
    <t>HH1064</t>
  </si>
  <si>
    <t>Wale Ogunleye</t>
  </si>
  <si>
    <t>HH1656</t>
  </si>
  <si>
    <t>Damilare Eze</t>
  </si>
  <si>
    <t>HH2286</t>
  </si>
  <si>
    <t>HH1178</t>
  </si>
  <si>
    <t>Kelechi Suleiman</t>
  </si>
  <si>
    <t>HH1725</t>
  </si>
  <si>
    <t>HH1228</t>
  </si>
  <si>
    <t>HH2254</t>
  </si>
  <si>
    <t>HH1080</t>
  </si>
  <si>
    <t>Musa Okonkwo</t>
  </si>
  <si>
    <t>HH1493</t>
  </si>
  <si>
    <t>HH2011</t>
  </si>
  <si>
    <t>Ahmed Mohammed</t>
  </si>
  <si>
    <t>HH2327</t>
  </si>
  <si>
    <t>Segun Yusuf</t>
  </si>
  <si>
    <t>HH1360</t>
  </si>
  <si>
    <t>Chioma Ibekwe</t>
  </si>
  <si>
    <t>HH1855</t>
  </si>
  <si>
    <t>HH2070</t>
  </si>
  <si>
    <t>HH1327</t>
  </si>
  <si>
    <t>Ngozi Abubakar</t>
  </si>
  <si>
    <t>HH2449</t>
  </si>
  <si>
    <t>Damilare Adebayo</t>
  </si>
  <si>
    <t>HH1284</t>
  </si>
  <si>
    <t>Kelechi Ogunleye</t>
  </si>
  <si>
    <t>HH2160</t>
  </si>
  <si>
    <t>HH1942</t>
  </si>
  <si>
    <t>Chinedu Eze</t>
  </si>
  <si>
    <t>HH2401</t>
  </si>
  <si>
    <t>Segun Ibekwe</t>
  </si>
  <si>
    <t>HH2389</t>
  </si>
  <si>
    <t>Titilayo Ogunleye</t>
  </si>
  <si>
    <t>HH1209</t>
  </si>
  <si>
    <t>Kemi Abubakar</t>
  </si>
  <si>
    <t>HH1893</t>
  </si>
  <si>
    <t>Femi Okonkwo</t>
  </si>
  <si>
    <t>HH1688</t>
  </si>
  <si>
    <t>HH1097</t>
  </si>
  <si>
    <t>Damilare Sani</t>
  </si>
  <si>
    <t>HH1283</t>
  </si>
  <si>
    <t>HH2242</t>
  </si>
  <si>
    <t>Bukola Bello</t>
  </si>
  <si>
    <t>HH2432</t>
  </si>
  <si>
    <t>HH1610</t>
  </si>
  <si>
    <t>Yemisi Nwosu</t>
  </si>
  <si>
    <t>Bola Okoro</t>
  </si>
  <si>
    <t>HH1478</t>
  </si>
  <si>
    <t>HH2136</t>
  </si>
  <si>
    <t>HH1866</t>
  </si>
  <si>
    <t>Rukayat Okonkwo</t>
  </si>
  <si>
    <t>HH1751</t>
  </si>
  <si>
    <t>Bukola Balogun</t>
  </si>
  <si>
    <t>HH1980</t>
  </si>
  <si>
    <t>Emeka Nwosu</t>
  </si>
  <si>
    <t>HH2061</t>
  </si>
  <si>
    <t>Ibrahim Okafor</t>
  </si>
  <si>
    <t>HH2409</t>
  </si>
  <si>
    <t>Ahmed Adeyemi</t>
  </si>
  <si>
    <t>HH1361</t>
  </si>
  <si>
    <t>Adaeze Abubakar</t>
  </si>
  <si>
    <t>HH1592</t>
  </si>
  <si>
    <t>Bola Balogun</t>
  </si>
  <si>
    <t>HH1515</t>
  </si>
  <si>
    <t>HH2103</t>
  </si>
  <si>
    <t>Zainab Mohammed</t>
  </si>
  <si>
    <t>HH1132</t>
  </si>
  <si>
    <t>HH2244</t>
  </si>
  <si>
    <t>Aliyu Olawale</t>
  </si>
  <si>
    <t>Amaka Sani</t>
  </si>
  <si>
    <t>HH1072</t>
  </si>
  <si>
    <t>Uche Yusuf</t>
  </si>
  <si>
    <t>HH2491</t>
  </si>
  <si>
    <t>Hauwa Eze</t>
  </si>
  <si>
    <t>HH1143</t>
  </si>
  <si>
    <t>HH2487</t>
  </si>
  <si>
    <t>HH2018</t>
  </si>
  <si>
    <t>Kemi Ibekwe</t>
  </si>
  <si>
    <t>Chioma Bello</t>
  </si>
  <si>
    <t>HH2239</t>
  </si>
  <si>
    <t>Halima Aliyu</t>
  </si>
  <si>
    <t>HH1380</t>
  </si>
  <si>
    <t>Adaeze Ibekwe</t>
  </si>
  <si>
    <t>HH1805</t>
  </si>
  <si>
    <t>HH1289</t>
  </si>
  <si>
    <t>HH1314</t>
  </si>
  <si>
    <t>HH1485</t>
  </si>
  <si>
    <t>HH2008</t>
  </si>
  <si>
    <t>HH1898</t>
  </si>
  <si>
    <t>Ifeanyi Yusuf</t>
  </si>
  <si>
    <t>Halima Olawale</t>
  </si>
  <si>
    <t>HH1549</t>
  </si>
  <si>
    <t>Nnamdi Okonkwo</t>
  </si>
  <si>
    <t>HH1334</t>
  </si>
  <si>
    <t>HH1208</t>
  </si>
  <si>
    <t>Rukayat Adebayo</t>
  </si>
  <si>
    <t>HH2053</t>
  </si>
  <si>
    <t>Amaka Okonkwo</t>
  </si>
  <si>
    <t>HH1407</t>
  </si>
  <si>
    <t>Zainab Okafor</t>
  </si>
  <si>
    <t>HH2075</t>
  </si>
  <si>
    <t>Hauwa Chukwu</t>
  </si>
  <si>
    <t>HH1760</t>
  </si>
  <si>
    <t>Ibrahim Bello</t>
  </si>
  <si>
    <t>HH2101</t>
  </si>
  <si>
    <t>Adaeze Adeyemi</t>
  </si>
  <si>
    <t>HH1737</t>
  </si>
  <si>
    <t>HH1154</t>
  </si>
  <si>
    <t>HH2104</t>
  </si>
  <si>
    <t>HH1175</t>
  </si>
  <si>
    <t>Nnamdi Adebayo</t>
  </si>
  <si>
    <t>HH1007</t>
  </si>
  <si>
    <t>Blessing Eze</t>
  </si>
  <si>
    <t>HH2152</t>
  </si>
  <si>
    <t>Nnamdi Suleiman</t>
  </si>
  <si>
    <t>HH2368</t>
  </si>
  <si>
    <t>Tunde Yusuf</t>
  </si>
  <si>
    <t>HH1448</t>
  </si>
  <si>
    <t>Wale Okoro</t>
  </si>
  <si>
    <t>HH1152</t>
  </si>
  <si>
    <t>HH1853</t>
  </si>
  <si>
    <t>HH2378</t>
  </si>
  <si>
    <t>HH2077</t>
  </si>
  <si>
    <t>HH1238</t>
  </si>
  <si>
    <t>HH1359</t>
  </si>
  <si>
    <t>HH1078</t>
  </si>
  <si>
    <t>Rukayat Sani</t>
  </si>
  <si>
    <t>HH1227</t>
  </si>
  <si>
    <t>HH1916</t>
  </si>
  <si>
    <t>Funke Sani</t>
  </si>
  <si>
    <t>HH1574</t>
  </si>
  <si>
    <t>HH1116</t>
  </si>
  <si>
    <t>Fatima Balogun</t>
  </si>
  <si>
    <t>HH1323</t>
  </si>
  <si>
    <t>Musa Okafor</t>
  </si>
  <si>
    <t>HH1439</t>
  </si>
  <si>
    <t>HH2456</t>
  </si>
  <si>
    <t>HH1949</t>
  </si>
  <si>
    <t>Bola Ibekwe</t>
  </si>
  <si>
    <t>HH1173</t>
  </si>
  <si>
    <t>Yusuf Adeyemi</t>
  </si>
  <si>
    <t>HH1707</t>
  </si>
  <si>
    <t>Bukola Abubakar</t>
  </si>
  <si>
    <t>HH2238</t>
  </si>
  <si>
    <t>Peace Suleiman</t>
  </si>
  <si>
    <t>HH1046</t>
  </si>
  <si>
    <t>Tunde Adebayo</t>
  </si>
  <si>
    <t>HH1689</t>
  </si>
  <si>
    <t>Emeka Okafor</t>
  </si>
  <si>
    <t>HH2302</t>
  </si>
  <si>
    <t>HH2231</t>
  </si>
  <si>
    <t>HH1147</t>
  </si>
  <si>
    <t>HH1414</t>
  </si>
  <si>
    <t>Halima Okafor</t>
  </si>
  <si>
    <t>HH1153</t>
  </si>
  <si>
    <t>Kunle Adeyemi</t>
  </si>
  <si>
    <t>HH1584</t>
  </si>
  <si>
    <t>HH2262</t>
  </si>
  <si>
    <t>Yemisi Balogun</t>
  </si>
  <si>
    <t>HH1427</t>
  </si>
  <si>
    <t>Bukola Ibekwe</t>
  </si>
  <si>
    <t>HH1164</t>
  </si>
  <si>
    <t>HH1838</t>
  </si>
  <si>
    <t>Adaeze Aliyu</t>
  </si>
  <si>
    <t>HH1730</t>
  </si>
  <si>
    <t>Chinedu Bello</t>
  </si>
  <si>
    <t>HH1892</t>
  </si>
  <si>
    <t>HH1777</t>
  </si>
  <si>
    <t>Grace Olawale</t>
  </si>
  <si>
    <t>HH1854</t>
  </si>
  <si>
    <t>HH2292</t>
  </si>
  <si>
    <t>Wale Sani</t>
  </si>
  <si>
    <t>HH1386</t>
  </si>
  <si>
    <t>HH1235</t>
  </si>
  <si>
    <t>Femi Eze</t>
  </si>
  <si>
    <t>HH1122</t>
  </si>
  <si>
    <t>Bukola Sani</t>
  </si>
  <si>
    <t>HH1095</t>
  </si>
  <si>
    <t>Kunle Abubakar</t>
  </si>
  <si>
    <t>HH1210</t>
  </si>
  <si>
    <t>HH1045</t>
  </si>
  <si>
    <t>HH2082</t>
  </si>
  <si>
    <t>Peace Sani</t>
  </si>
  <si>
    <t>HH1597</t>
  </si>
  <si>
    <t>HH1162</t>
  </si>
  <si>
    <t>HH1382</t>
  </si>
  <si>
    <t>HH2248</t>
  </si>
  <si>
    <t>HH1458</t>
  </si>
  <si>
    <t>Ifeanyi Bello</t>
  </si>
  <si>
    <t>HH1685</t>
  </si>
  <si>
    <t>Damilare Nwachukwu</t>
  </si>
  <si>
    <t>HH2412</t>
  </si>
  <si>
    <t>Suleiman Nwosu</t>
  </si>
  <si>
    <t>HH1929</t>
  </si>
  <si>
    <t>Tunde Ibekwe</t>
  </si>
  <si>
    <t>HH1925</t>
  </si>
  <si>
    <t>Peace Eze</t>
  </si>
  <si>
    <t>HH1190</t>
  </si>
  <si>
    <t>Suleiman Aliyu</t>
  </si>
  <si>
    <t>HH1824</t>
  </si>
  <si>
    <t>HH1635</t>
  </si>
  <si>
    <t>Zainab Nwachukwu</t>
  </si>
  <si>
    <t>HH1869</t>
  </si>
  <si>
    <t>Kemi Adebayo</t>
  </si>
  <si>
    <t>HH2038</t>
  </si>
  <si>
    <t>HH2317</t>
  </si>
  <si>
    <t>HH2436</t>
  </si>
  <si>
    <t>Bukola Okoro</t>
  </si>
  <si>
    <t>HH1168</t>
  </si>
  <si>
    <t>Zainab Okonkwo</t>
  </si>
  <si>
    <t>HH1255</t>
  </si>
  <si>
    <t>HH1091</t>
  </si>
  <si>
    <t>Bola Adeyemi</t>
  </si>
  <si>
    <t>HH2339</t>
  </si>
  <si>
    <t>HH2034</t>
  </si>
  <si>
    <t>Ahmed Yusuf</t>
  </si>
  <si>
    <t>HH1902</t>
  </si>
  <si>
    <t>Fatima Chukwu</t>
  </si>
  <si>
    <t>HH1885</t>
  </si>
  <si>
    <t>Yemisi Ibekwe</t>
  </si>
  <si>
    <t>HH2387</t>
  </si>
  <si>
    <t>Ahmed Nwachukwu</t>
  </si>
  <si>
    <t>HH1623</t>
  </si>
  <si>
    <t>HH2212</t>
  </si>
  <si>
    <t>HH1250</t>
  </si>
  <si>
    <t>Kelechi Eze</t>
  </si>
  <si>
    <t>HH2388</t>
  </si>
  <si>
    <t>HH1370</t>
  </si>
  <si>
    <t>HH2434</t>
  </si>
  <si>
    <t>HH2293</t>
  </si>
  <si>
    <t>HH1581</t>
  </si>
  <si>
    <t>Kelechi Bello</t>
  </si>
  <si>
    <t>HH1423</t>
  </si>
  <si>
    <t>Kelechi Nwachukwu</t>
  </si>
  <si>
    <t>HH1347</t>
  </si>
  <si>
    <t>Amaka Chukwu</t>
  </si>
  <si>
    <t>HH2135</t>
  </si>
  <si>
    <t>Damilare Abubakar</t>
  </si>
  <si>
    <t>HH1421</t>
  </si>
  <si>
    <t>Yusuf Balogun</t>
  </si>
  <si>
    <t>HH1733</t>
  </si>
  <si>
    <t>HH2144</t>
  </si>
  <si>
    <t>HH1899</t>
  </si>
  <si>
    <t>Zainab Suleiman</t>
  </si>
  <si>
    <t>HH1910</t>
  </si>
  <si>
    <t>Hauwa Adebayo</t>
  </si>
  <si>
    <t>HH2179</t>
  </si>
  <si>
    <t>Aisha Balogun</t>
  </si>
  <si>
    <t>HH1296</t>
  </si>
  <si>
    <t>Kemi Okonkwo</t>
  </si>
  <si>
    <t>HH2376</t>
  </si>
  <si>
    <t>Suleiman Okoro</t>
  </si>
  <si>
    <t>HH1115</t>
  </si>
  <si>
    <t>Ifeanyi Ibekwe</t>
  </si>
  <si>
    <t>HH2483</t>
  </si>
  <si>
    <t>Fatima Ibekwe</t>
  </si>
  <si>
    <t>HH2012</t>
  </si>
  <si>
    <t>HH1468</t>
  </si>
  <si>
    <t>Adaeze Sani</t>
  </si>
  <si>
    <t>HH1921</t>
  </si>
  <si>
    <t>Wale Bello</t>
  </si>
  <si>
    <t>HH1450</t>
  </si>
  <si>
    <t>HH2129</t>
  </si>
  <si>
    <t>Bisi Okonkwo</t>
  </si>
  <si>
    <t>HH2004</t>
  </si>
  <si>
    <t>HH1713</t>
  </si>
  <si>
    <t>Aliyu Okafor</t>
  </si>
  <si>
    <t>HH1514</t>
  </si>
  <si>
    <t>HH1482</t>
  </si>
  <si>
    <t>HH1804</t>
  </si>
  <si>
    <t>Grace Nwosu</t>
  </si>
  <si>
    <t>HH2274</t>
  </si>
  <si>
    <t>Adaeze Bello</t>
  </si>
  <si>
    <t>HH1719</t>
  </si>
  <si>
    <t>Obinna Chukwu</t>
  </si>
  <si>
    <t>HH1387</t>
  </si>
  <si>
    <t>HH1202</t>
  </si>
  <si>
    <t>HH1740</t>
  </si>
  <si>
    <t>Ahmed Okoro</t>
  </si>
  <si>
    <t>HH2323</t>
  </si>
  <si>
    <t>HH2399</t>
  </si>
  <si>
    <t>Ahmed Suleiman</t>
  </si>
  <si>
    <t>HH1109</t>
  </si>
  <si>
    <t>Musa Okoro</t>
  </si>
  <si>
    <t>HH1142</t>
  </si>
  <si>
    <t>Damilare Nwosu</t>
  </si>
  <si>
    <t>HH1614</t>
  </si>
  <si>
    <t>HH1985</t>
  </si>
  <si>
    <t>Chioma Olawale</t>
  </si>
  <si>
    <t>HH1158</t>
  </si>
  <si>
    <t>HH1679</t>
  </si>
  <si>
    <t>Blessing Yusuf</t>
  </si>
  <si>
    <t>HH2424</t>
  </si>
  <si>
    <t>Kunle Bello</t>
  </si>
  <si>
    <t>HH1720</t>
  </si>
  <si>
    <t>HH1214</t>
  </si>
  <si>
    <t>Funke Adebayo</t>
  </si>
  <si>
    <t>Ifeanyi Sani</t>
  </si>
  <si>
    <t>HH1642</t>
  </si>
  <si>
    <t>HH2404</t>
  </si>
  <si>
    <t>HH1787</t>
  </si>
  <si>
    <t>Titilayo Eze</t>
  </si>
  <si>
    <t>HH2043</t>
  </si>
  <si>
    <t>HH1989</t>
  </si>
  <si>
    <t>HH2142</t>
  </si>
  <si>
    <t>Amaka Okafor</t>
  </si>
  <si>
    <t>HH1428</t>
  </si>
  <si>
    <t>Halima Adeyemi</t>
  </si>
  <si>
    <t>HH1585</t>
  </si>
  <si>
    <t>HH1747</t>
  </si>
  <si>
    <t>HH2341</t>
  </si>
  <si>
    <t>HH2109</t>
  </si>
  <si>
    <t>HH2347</t>
  </si>
  <si>
    <t>HH1729</t>
  </si>
  <si>
    <t>HH1856</t>
  </si>
  <si>
    <t>HH1447</t>
  </si>
  <si>
    <t>Hauwa Okafor</t>
  </si>
  <si>
    <t>HH2182</t>
  </si>
  <si>
    <t>Obinna Mohammed</t>
  </si>
  <si>
    <t>HH1792</t>
  </si>
  <si>
    <t>Halima Bello</t>
  </si>
  <si>
    <t>HH1843</t>
  </si>
  <si>
    <t>Uche Okonkwo</t>
  </si>
  <si>
    <t>HH1516</t>
  </si>
  <si>
    <t>Nnamdi Eze</t>
  </si>
  <si>
    <t>HH1563</t>
  </si>
  <si>
    <t>Aisha Adeyemi</t>
  </si>
  <si>
    <t>HH1272</t>
  </si>
  <si>
    <t>HH1638</t>
  </si>
  <si>
    <t>Kemi Olawale</t>
  </si>
  <si>
    <t>HH1139</t>
  </si>
  <si>
    <t>HH1825</t>
  </si>
  <si>
    <t>Obinna Yusuf</t>
  </si>
  <si>
    <t>HH1596</t>
  </si>
  <si>
    <t>Segun Balogun</t>
  </si>
  <si>
    <t>HH2462</t>
  </si>
  <si>
    <t>HH1431</t>
  </si>
  <si>
    <t>HH1669</t>
  </si>
  <si>
    <t>Peace Okafor</t>
  </si>
  <si>
    <t>HH2069</t>
  </si>
  <si>
    <t>Chioma Adeyemi</t>
  </si>
  <si>
    <t>HH1768</t>
  </si>
  <si>
    <t>HH1829</t>
  </si>
  <si>
    <t>HH2395</t>
  </si>
  <si>
    <t>HH1706</t>
  </si>
  <si>
    <t>Amaka Eze</t>
  </si>
  <si>
    <t>HH2295</t>
  </si>
  <si>
    <t>Fatima Eze</t>
  </si>
  <si>
    <t>HH1879</t>
  </si>
  <si>
    <t>HH1750</t>
  </si>
  <si>
    <t>Chiamaka Mohammed</t>
  </si>
  <si>
    <t>HH1128</t>
  </si>
  <si>
    <t>Kemi Suleiman</t>
  </si>
  <si>
    <t>Ibrahim Okonkwo</t>
  </si>
  <si>
    <t>HH1311</t>
  </si>
  <si>
    <t>HH2234</t>
  </si>
  <si>
    <t>Tunde Okonkwo</t>
  </si>
  <si>
    <t>HH1526</t>
  </si>
  <si>
    <t>HH2092</t>
  </si>
  <si>
    <t>Aisha Mohammed</t>
  </si>
  <si>
    <t>HH1781</t>
  </si>
  <si>
    <t>HH1206</t>
  </si>
  <si>
    <t>Segun Sani</t>
  </si>
  <si>
    <t>HH2458</t>
  </si>
  <si>
    <t>HH2326</t>
  </si>
  <si>
    <t>HH2163</t>
  </si>
  <si>
    <t>HH1203</t>
  </si>
  <si>
    <t>Damilare Balogun</t>
  </si>
  <si>
    <t>HH1054</t>
  </si>
  <si>
    <t>HH2133</t>
  </si>
  <si>
    <t>HH1488</t>
  </si>
  <si>
    <t>HH1540</t>
  </si>
  <si>
    <t>Emeka Okoro</t>
  </si>
  <si>
    <t>HH1971</t>
  </si>
  <si>
    <t>HH1189</t>
  </si>
  <si>
    <t>Segun Nwosu</t>
  </si>
  <si>
    <t>HH1108</t>
  </si>
  <si>
    <t>Femi Adebayo</t>
  </si>
  <si>
    <t>HH1537</t>
  </si>
  <si>
    <t>HH1521</t>
  </si>
  <si>
    <t>HH2290</t>
  </si>
  <si>
    <t>HH1550</t>
  </si>
  <si>
    <t>HH1376</t>
  </si>
  <si>
    <t>HH1969</t>
  </si>
  <si>
    <t>HH1594</t>
  </si>
  <si>
    <t>HH2364</t>
  </si>
  <si>
    <t>Chiamaka Ogunleye</t>
  </si>
  <si>
    <t>HH1205</t>
  </si>
  <si>
    <t>HH1093</t>
  </si>
  <si>
    <t>Hauwa Bello</t>
  </si>
  <si>
    <t>HH1224</t>
  </si>
  <si>
    <t>Aisha Nwachukwu</t>
  </si>
  <si>
    <t>HH2204</t>
  </si>
  <si>
    <t>Hauwa Balogun</t>
  </si>
  <si>
    <t>HH2089</t>
  </si>
  <si>
    <t>HH1886</t>
  </si>
  <si>
    <t>HH2224</t>
  </si>
  <si>
    <t>HH1440</t>
  </si>
  <si>
    <t>HH1588</t>
  </si>
  <si>
    <t>Blessing Bello</t>
  </si>
  <si>
    <t>HH1896</t>
  </si>
  <si>
    <t>HH1752</t>
  </si>
  <si>
    <t>Wale Adeyemi</t>
  </si>
  <si>
    <t>HH1761</t>
  </si>
  <si>
    <t>HH1092</t>
  </si>
  <si>
    <t>Uche Aliyu</t>
  </si>
  <si>
    <t>HH2009</t>
  </si>
  <si>
    <t>HH2028</t>
  </si>
  <si>
    <t>Bola Eze</t>
  </si>
  <si>
    <t>HH1270</t>
  </si>
  <si>
    <t>Peace Abubakar</t>
  </si>
  <si>
    <t>HH2088</t>
  </si>
  <si>
    <t>HH2320</t>
  </si>
  <si>
    <t>Ifeanyi Aliyu</t>
  </si>
  <si>
    <t>HH2223</t>
  </si>
  <si>
    <t>HH1692</t>
  </si>
  <si>
    <t>Ifeanyi Balogun</t>
  </si>
  <si>
    <t>HH2199</t>
  </si>
  <si>
    <t>HH1560</t>
  </si>
  <si>
    <t>Obinna Suleiman</t>
  </si>
  <si>
    <t>HH1811</t>
  </si>
  <si>
    <t>Aliyu Aliyu</t>
  </si>
  <si>
    <t>HH2139</t>
  </si>
  <si>
    <t>HH2344</t>
  </si>
  <si>
    <t>HH1246</t>
  </si>
  <si>
    <t>HH2173</t>
  </si>
  <si>
    <t>Chinedu Nwachukwu</t>
  </si>
  <si>
    <t>HH2079</t>
  </si>
  <si>
    <t>HH1469</t>
  </si>
  <si>
    <t>HH1101</t>
  </si>
  <si>
    <t>HH2398</t>
  </si>
  <si>
    <t>HH2156</t>
  </si>
  <si>
    <t>Kelechi Adebayo</t>
  </si>
  <si>
    <t>HH1130</t>
  </si>
  <si>
    <t>Fatima Nwosu</t>
  </si>
  <si>
    <t>HH2407</t>
  </si>
  <si>
    <t>HH1024</t>
  </si>
  <si>
    <t>HH1583</t>
  </si>
  <si>
    <t>HH1391</t>
  </si>
  <si>
    <t>HH2131</t>
  </si>
  <si>
    <t>HH1697</t>
  </si>
  <si>
    <t>Zainab Ogunleye</t>
  </si>
  <si>
    <t>HH2392</t>
  </si>
  <si>
    <t>HH2219</t>
  </si>
  <si>
    <t>HH1025</t>
  </si>
  <si>
    <t>HH1155</t>
  </si>
  <si>
    <t>Funke Olawale</t>
  </si>
  <si>
    <t>HH2453</t>
  </si>
  <si>
    <t>HH2405</t>
  </si>
  <si>
    <t>Chioma Nwosu</t>
  </si>
  <si>
    <t>HH2435</t>
  </si>
  <si>
    <t>HH1542</t>
  </si>
  <si>
    <t>HH1948</t>
  </si>
  <si>
    <t>HH2266</t>
  </si>
  <si>
    <t>HH2138</t>
  </si>
  <si>
    <t>Grace Suleiman</t>
  </si>
  <si>
    <t>HH1445</t>
  </si>
  <si>
    <t>HH1718</t>
  </si>
  <si>
    <t>HH2370</t>
  </si>
  <si>
    <t>Damilare Adeyemi</t>
  </si>
  <si>
    <t>HH2259</t>
  </si>
  <si>
    <t>Fatima Olawale</t>
  </si>
  <si>
    <t>HH1179</t>
  </si>
  <si>
    <t>Zainab Adebayo</t>
  </si>
  <si>
    <t>HH2233</t>
  </si>
  <si>
    <t>Musa Bello</t>
  </si>
  <si>
    <t>HH2372</t>
  </si>
  <si>
    <t>HH2354</t>
  </si>
  <si>
    <t>Suleiman Chukwu</t>
  </si>
  <si>
    <t>Fatima Suleiman</t>
  </si>
  <si>
    <t>HH1354</t>
  </si>
  <si>
    <t>HH1067</t>
  </si>
  <si>
    <t>Bola Nwachukwu</t>
  </si>
  <si>
    <t>HH1995</t>
  </si>
  <si>
    <t>HH1145</t>
  </si>
  <si>
    <t>Kemi Adeyemi</t>
  </si>
  <si>
    <t>HH2102</t>
  </si>
  <si>
    <t>Aliyu Nwachukwu</t>
  </si>
  <si>
    <t>HH1415</t>
  </si>
  <si>
    <t>Chiamaka Ibekwe</t>
  </si>
  <si>
    <t>HH1933</t>
  </si>
  <si>
    <t>HH1506</t>
  </si>
  <si>
    <t>HH1300</t>
  </si>
  <si>
    <t>HH1523</t>
  </si>
  <si>
    <t>Titilayo Aliyu</t>
  </si>
  <si>
    <t>HH2482</t>
  </si>
  <si>
    <t>HH2145</t>
  </si>
  <si>
    <t>HH1437</t>
  </si>
  <si>
    <t>HH2457</t>
  </si>
  <si>
    <t>HH1861</t>
  </si>
  <si>
    <t>Bisi Okafor</t>
  </si>
  <si>
    <t>HH1138</t>
  </si>
  <si>
    <t>HH2467</t>
  </si>
  <si>
    <t>HH1195</t>
  </si>
  <si>
    <t>Obinna Adeyemi</t>
  </si>
  <si>
    <t>HH2165</t>
  </si>
  <si>
    <t>HH1449</t>
  </si>
  <si>
    <t>HH1833</t>
  </si>
  <si>
    <t>HH2214</t>
  </si>
  <si>
    <t>Bola Okonkwo</t>
  </si>
  <si>
    <t>HH1746</t>
  </si>
  <si>
    <t>HH2418</t>
  </si>
  <si>
    <t>HH1174</t>
  </si>
  <si>
    <t>HH1222</t>
  </si>
  <si>
    <t>Ifeanyi Ogunleye</t>
  </si>
  <si>
    <t>HH1254</t>
  </si>
  <si>
    <t>HH2394</t>
  </si>
  <si>
    <t>HH1385</t>
  </si>
  <si>
    <t>HH1962</t>
  </si>
  <si>
    <t>Ifeanyi Okoro</t>
  </si>
  <si>
    <t>HH2440</t>
  </si>
  <si>
    <t>Kunle Okonkwo</t>
  </si>
  <si>
    <t>HH1782</t>
  </si>
  <si>
    <t>HH2373</t>
  </si>
  <si>
    <t>Ngozi Eze</t>
  </si>
  <si>
    <t>HH1034</t>
  </si>
  <si>
    <t>HH1711</t>
  </si>
  <si>
    <t>Rukayat Balogun</t>
  </si>
  <si>
    <t>HH2371</t>
  </si>
  <si>
    <t>Tunde Ogunleye</t>
  </si>
  <si>
    <t>HH1265</t>
  </si>
  <si>
    <t>Obinna Nwachukwu</t>
  </si>
  <si>
    <t>HH1557</t>
  </si>
  <si>
    <t>HH1089</t>
  </si>
  <si>
    <t>HH1796</t>
  </si>
  <si>
    <t>Suleiman Abubakar</t>
  </si>
  <si>
    <t>HH2169</t>
  </si>
  <si>
    <t>HH2425</t>
  </si>
  <si>
    <t>HH1000</t>
  </si>
  <si>
    <t>HH2072</t>
  </si>
  <si>
    <t>Ngozi Sani</t>
  </si>
  <si>
    <t>HH1613</t>
  </si>
  <si>
    <t>HH1005</t>
  </si>
  <si>
    <t>HH1342</t>
  </si>
  <si>
    <t>HH1911</t>
  </si>
  <si>
    <t>HH1894</t>
  </si>
  <si>
    <t>Chinedu Suleiman</t>
  </si>
  <si>
    <t>HH1039</t>
  </si>
  <si>
    <t>Ibrahim Olawale</t>
  </si>
  <si>
    <t>HH1528</t>
  </si>
  <si>
    <t>Blessing Ibekwe</t>
  </si>
  <si>
    <t>HH1665</t>
  </si>
  <si>
    <t>HH1452</t>
  </si>
  <si>
    <t>HH1660</t>
  </si>
  <si>
    <t>Blessing Nwachukwu</t>
  </si>
  <si>
    <t>HH1124</t>
  </si>
  <si>
    <t>Chioma Mohammed</t>
  </si>
  <si>
    <t>HH1177</t>
  </si>
  <si>
    <t>Ibrahim Ogunleye</t>
  </si>
  <si>
    <t>HH1136</t>
  </si>
  <si>
    <t>Rukayat Okoro</t>
  </si>
  <si>
    <t>HH1336</t>
  </si>
  <si>
    <t>Bisi Ibekwe</t>
  </si>
  <si>
    <t>HH1118</t>
  </si>
  <si>
    <t>Zainab Sani</t>
  </si>
  <si>
    <t>HH2094</t>
  </si>
  <si>
    <t>Kemi Nwosu</t>
  </si>
  <si>
    <t>HH2421</t>
  </si>
  <si>
    <t>HH1505</t>
  </si>
  <si>
    <t>Chioma Okafor</t>
  </si>
  <si>
    <t>HH2280</t>
  </si>
  <si>
    <t>HH1617</t>
  </si>
  <si>
    <t>HH1999</t>
  </si>
  <si>
    <t>HH1889</t>
  </si>
  <si>
    <t>HH1192</t>
  </si>
  <si>
    <t>Kelechi Okoro</t>
  </si>
  <si>
    <t>HH2420</t>
  </si>
  <si>
    <t>HH2042</t>
  </si>
  <si>
    <t>HH1891</t>
  </si>
  <si>
    <t>HH1791</t>
  </si>
  <si>
    <t>Ibrahim Adeyemi</t>
  </si>
  <si>
    <t>HH1135</t>
  </si>
  <si>
    <t>HH1244</t>
  </si>
  <si>
    <t>HH1460</t>
  </si>
  <si>
    <t>HH1041</t>
  </si>
  <si>
    <t>Blessing Okafor</t>
  </si>
  <si>
    <t>HH1923</t>
  </si>
  <si>
    <t>HH1636</t>
  </si>
  <si>
    <t>HH1358</t>
  </si>
  <si>
    <t>HH1897</t>
  </si>
  <si>
    <t>HH1297</t>
  </si>
  <si>
    <t>HH1815</t>
  </si>
  <si>
    <t>Ngozi Okafor</t>
  </si>
  <si>
    <t>HH2463</t>
  </si>
  <si>
    <t>HH1758</t>
  </si>
  <si>
    <t>Fatima Bello</t>
  </si>
  <si>
    <t>HH1517</t>
  </si>
  <si>
    <t>HH1558</t>
  </si>
  <si>
    <t>Bisi Okoro</t>
  </si>
  <si>
    <t>HH2112</t>
  </si>
  <si>
    <t>HH1618</t>
  </si>
  <si>
    <t>Grace Okoro</t>
  </si>
  <si>
    <t>HH1465</t>
  </si>
  <si>
    <t>HH1410</t>
  </si>
  <si>
    <t>HH2330</t>
  </si>
  <si>
    <t>HH1955</t>
  </si>
  <si>
    <t>Chiamaka Okoro</t>
  </si>
  <si>
    <t>HH2271</t>
  </si>
  <si>
    <t>HH2100</t>
  </si>
  <si>
    <t>HH1038</t>
  </si>
  <si>
    <t>HH1678</t>
  </si>
  <si>
    <t>Zainab Okoro</t>
  </si>
  <si>
    <t>HH1079</t>
  </si>
  <si>
    <t>HH2332</t>
  </si>
  <si>
    <t>HH1686</t>
  </si>
  <si>
    <t>HH1491</t>
  </si>
  <si>
    <t>HH2400</t>
  </si>
  <si>
    <t>Segun Aliyu</t>
  </si>
  <si>
    <t>HH1527</t>
  </si>
  <si>
    <t>Rukayat Okafor</t>
  </si>
  <si>
    <t>HH1931</t>
  </si>
  <si>
    <t>Femi Adeyemi</t>
  </si>
  <si>
    <t>HH1759</t>
  </si>
  <si>
    <t>HH2303</t>
  </si>
  <si>
    <t>Chioma Aliyu</t>
  </si>
  <si>
    <t>HH1959</t>
  </si>
  <si>
    <t>Femi Yusuf</t>
  </si>
  <si>
    <t>HH1979</t>
  </si>
  <si>
    <t>HH2036</t>
  </si>
  <si>
    <t>HH1693</t>
  </si>
  <si>
    <t>HH2117</t>
  </si>
  <si>
    <t>HH1420</t>
  </si>
  <si>
    <t>Tunde Okoro</t>
  </si>
  <si>
    <t>HH2125</t>
  </si>
  <si>
    <t>Femi Balogun</t>
  </si>
  <si>
    <t>HH2155</t>
  </si>
  <si>
    <t>HH2363</t>
  </si>
  <si>
    <t>HH2470</t>
  </si>
  <si>
    <t>HH1590</t>
  </si>
  <si>
    <t>HH2419</t>
  </si>
  <si>
    <t>HH1457</t>
  </si>
  <si>
    <t>HH1766</t>
  </si>
  <si>
    <t>HH1111</t>
  </si>
  <si>
    <t>Tunde Balogun</t>
  </si>
  <si>
    <t>HH1890</t>
  </si>
  <si>
    <t>HH2329</t>
  </si>
  <si>
    <t>HH2134</t>
  </si>
  <si>
    <t>HH1901</t>
  </si>
  <si>
    <t>Femi Chukwu</t>
  </si>
  <si>
    <t>HH1977</t>
  </si>
  <si>
    <t>HH2268</t>
  </si>
  <si>
    <t>Musa Sani</t>
  </si>
  <si>
    <t>HH1102</t>
  </si>
  <si>
    <t>HH1454</t>
  </si>
  <si>
    <t>Yusuf Yusuf</t>
  </si>
  <si>
    <t>HH2251</t>
  </si>
  <si>
    <t>HH2055</t>
  </si>
  <si>
    <t>Chinedu Adebayo</t>
  </si>
  <si>
    <t>HH1663</t>
  </si>
  <si>
    <t>HH2496</t>
  </si>
  <si>
    <t>Musa Nwosu</t>
  </si>
  <si>
    <t>HH1883</t>
  </si>
  <si>
    <t>HH2264</t>
  </si>
  <si>
    <t>HH2161</t>
  </si>
  <si>
    <t>HH1756</t>
  </si>
  <si>
    <t>HH2454</t>
  </si>
  <si>
    <t>HH1951</t>
  </si>
  <si>
    <t>HH1114</t>
  </si>
  <si>
    <t>Segun Chukwu</t>
  </si>
  <si>
    <t>HH1068</t>
  </si>
  <si>
    <t>Ahmed Nwosu</t>
  </si>
  <si>
    <t>HH1935</t>
  </si>
  <si>
    <t>Adaeze Ogunleye</t>
  </si>
  <si>
    <t>HH1546</t>
  </si>
  <si>
    <t>HH1717</t>
  </si>
  <si>
    <t>HH2433</t>
  </si>
  <si>
    <t>HH1726</t>
  </si>
  <si>
    <t>HH1954</t>
  </si>
  <si>
    <t>HH1649</t>
  </si>
  <si>
    <t>HH1271</t>
  </si>
  <si>
    <t>HH1984</t>
  </si>
  <si>
    <t>HH1786</t>
  </si>
  <si>
    <t>HH1252</t>
  </si>
  <si>
    <t>Blessing Olawale</t>
  </si>
  <si>
    <t>HH2471</t>
  </si>
  <si>
    <t>HH1784</t>
  </si>
  <si>
    <t>HH2217</t>
  </si>
  <si>
    <t>HH1134</t>
  </si>
  <si>
    <t>HH1957</t>
  </si>
  <si>
    <t>Grace Adebayo</t>
  </si>
  <si>
    <t>HH2151</t>
  </si>
  <si>
    <t>Nnamdi Aliyu</t>
  </si>
  <si>
    <t>HH2054</t>
  </si>
  <si>
    <t>HH2083</t>
  </si>
  <si>
    <t>HH1658</t>
  </si>
  <si>
    <t>HH1127</t>
  </si>
  <si>
    <t>HH2250</t>
  </si>
  <si>
    <t>HH2391</t>
  </si>
  <si>
    <t>HH2140</t>
  </si>
  <si>
    <t>HH1237</t>
  </si>
  <si>
    <t>HH2382</t>
  </si>
  <si>
    <t>Wale Chukwu</t>
  </si>
  <si>
    <t>HH2366</t>
  </si>
  <si>
    <t>HH1459</t>
  </si>
  <si>
    <t>HH2153</t>
  </si>
  <si>
    <t>Grace Ibekwe</t>
  </si>
  <si>
    <t>HH1055</t>
  </si>
  <si>
    <t>Grace Nwachukwu</t>
  </si>
  <si>
    <t>HH1769</t>
  </si>
  <si>
    <t>Grace Chukwu</t>
  </si>
  <si>
    <t>HH1074</t>
  </si>
  <si>
    <t>HH2187</t>
  </si>
  <si>
    <t>HH1105</t>
  </si>
  <si>
    <t>HH1163</t>
  </si>
  <si>
    <t>Suleiman Suleiman</t>
  </si>
  <si>
    <t>HH2122</t>
  </si>
  <si>
    <t>HH1978</t>
  </si>
  <si>
    <t>Amaka Suleiman</t>
  </si>
  <si>
    <t>HH1976</t>
  </si>
  <si>
    <t>Zainab Balogun</t>
  </si>
  <si>
    <t>HH2085</t>
  </si>
  <si>
    <t>Kemi Mohammed</t>
  </si>
  <si>
    <t>HH1639</t>
  </si>
  <si>
    <t>Chinedu Sani</t>
  </si>
  <si>
    <t>HH2297</t>
  </si>
  <si>
    <t>Segun Eze</t>
  </si>
  <si>
    <t>HH2422</t>
  </si>
  <si>
    <t>HH1518</t>
  </si>
  <si>
    <t>Hauwa Nwosu</t>
  </si>
  <si>
    <t>HH2278</t>
  </si>
  <si>
    <t>HH1591</t>
  </si>
  <si>
    <t>Damilare Ogunleye</t>
  </si>
  <si>
    <t>HH1230</t>
  </si>
  <si>
    <t>HH1770</t>
  </si>
  <si>
    <t>HH1412</t>
  </si>
  <si>
    <t>HH1555</t>
  </si>
  <si>
    <t>HH1543</t>
  </si>
  <si>
    <t>HH1953</t>
  </si>
  <si>
    <t>HH1536</t>
  </si>
  <si>
    <t>HH2051</t>
  </si>
  <si>
    <t>HH1930</t>
  </si>
  <si>
    <t>Bola Mohammed</t>
  </si>
  <si>
    <t>HH2381</t>
  </si>
  <si>
    <t>HH2203</t>
  </si>
  <si>
    <t>HH1624</t>
  </si>
  <si>
    <t>HH1406</t>
  </si>
  <si>
    <t>HH2325</t>
  </si>
  <si>
    <t>HH1644</t>
  </si>
  <si>
    <t>Musa Suleiman</t>
  </si>
  <si>
    <t>HH1863</t>
  </si>
  <si>
    <t>HH2464</t>
  </si>
  <si>
    <t>HH2235</t>
  </si>
  <si>
    <t>HH1446</t>
  </si>
  <si>
    <t>Yusuf Abubakar</t>
  </si>
  <si>
    <t>HH1664</t>
  </si>
  <si>
    <t>HH2312</t>
  </si>
  <si>
    <t>HH2037</t>
  </si>
  <si>
    <t>HH1771</t>
  </si>
  <si>
    <t>Ngozi Olawale</t>
  </si>
  <si>
    <t>HH1479</t>
  </si>
  <si>
    <t>HH2116</t>
  </si>
  <si>
    <t>HH1579</t>
  </si>
  <si>
    <t>HH2345</t>
  </si>
  <si>
    <t>Adaeze Balogun</t>
  </si>
  <si>
    <t>HH1261</t>
  </si>
  <si>
    <t>HH1294</t>
  </si>
  <si>
    <t>Femi Aliyu</t>
  </si>
  <si>
    <t>HH1721</t>
  </si>
  <si>
    <t>Femi Nwachukwu</t>
  </si>
  <si>
    <t>HH1934</t>
  </si>
  <si>
    <t>HH2240</t>
  </si>
  <si>
    <t>HH2227</t>
  </si>
  <si>
    <t>Amaka Adebayo</t>
  </si>
  <si>
    <t>HH1990</t>
  </si>
  <si>
    <t>HH2442</t>
  </si>
  <si>
    <t>Kunle Ibekwe</t>
  </si>
  <si>
    <t>HH1159</t>
  </si>
  <si>
    <t>Yemisi Abubakar</t>
  </si>
  <si>
    <t>HH2393</t>
  </si>
  <si>
    <t>HH1650</t>
  </si>
  <si>
    <t>HH1609</t>
  </si>
  <si>
    <t>Rukayat Eze</t>
  </si>
  <si>
    <t>HH2267</t>
  </si>
  <si>
    <t>Halima Ogunleye</t>
  </si>
  <si>
    <t>HH1333</t>
  </si>
  <si>
    <t>Ifeanyi Eze</t>
  </si>
  <si>
    <t>HH1694</t>
  </si>
  <si>
    <t>HH2014</t>
  </si>
  <si>
    <t>HH1279</t>
  </si>
  <si>
    <t>Zainab Eze</t>
  </si>
  <si>
    <t>HH2040</t>
  </si>
  <si>
    <t>HH1698</t>
  </si>
  <si>
    <t>HH2489</t>
  </si>
  <si>
    <t>Uche Nwachukwu</t>
  </si>
  <si>
    <t>HH1868</t>
  </si>
  <si>
    <t>HH1629</t>
  </si>
  <si>
    <t>Nnamdi Okafor</t>
  </si>
  <si>
    <t>HH1533</t>
  </si>
  <si>
    <t>Hauwa Aliyu</t>
  </si>
  <si>
    <t>HH2298</t>
  </si>
  <si>
    <t>HH1736</t>
  </si>
  <si>
    <t>Titilayo Abubakar</t>
  </si>
  <si>
    <t>HH1014</t>
  </si>
  <si>
    <t>HH1682</t>
  </si>
  <si>
    <t>HH2020</t>
  </si>
  <si>
    <t>Chiamaka Abubakar</t>
  </si>
  <si>
    <t>HH1392</t>
  </si>
  <si>
    <t>Titilayo Mohammed</t>
  </si>
  <si>
    <t>HH1422</t>
  </si>
  <si>
    <t>HH2306</t>
  </si>
  <si>
    <t>HH1462</t>
  </si>
  <si>
    <t>HH2300</t>
  </si>
  <si>
    <t>HH2220</t>
  </si>
  <si>
    <t>HH2257</t>
  </si>
  <si>
    <t>Hauwa Abubakar</t>
  </si>
  <si>
    <t>HH1801</t>
  </si>
  <si>
    <t>HH2349</t>
  </si>
  <si>
    <t>HH2198</t>
  </si>
  <si>
    <t>Musa Balogun</t>
  </si>
  <si>
    <t>HH2216</t>
  </si>
  <si>
    <t>HH1908</t>
  </si>
  <si>
    <t>HH1619</t>
  </si>
  <si>
    <t>Titilayo Suleiman</t>
  </si>
  <si>
    <t>HH2120</t>
  </si>
  <si>
    <t>HH1236</t>
  </si>
  <si>
    <t>Blessing Nwosu</t>
  </si>
  <si>
    <t>HH1857</t>
  </si>
  <si>
    <t>HH1873</t>
  </si>
  <si>
    <t>Peace Adeyemi</t>
  </si>
  <si>
    <t>HH1466</t>
  </si>
  <si>
    <t>HH2350</t>
  </si>
  <si>
    <t>HH1753</t>
  </si>
  <si>
    <t>HH2159</t>
  </si>
  <si>
    <t>Bukola Chukwu</t>
  </si>
  <si>
    <t>HH1941</t>
  </si>
  <si>
    <t>HH1882</t>
  </si>
  <si>
    <t>HH1291</t>
  </si>
  <si>
    <t>HH1233</t>
  </si>
  <si>
    <t>HH1741</t>
  </si>
  <si>
    <t>HH2192</t>
  </si>
  <si>
    <t>HH1409</t>
  </si>
  <si>
    <t>Yusuf Mohammed</t>
  </si>
  <si>
    <t>HH1850</t>
  </si>
  <si>
    <t>Funke Okonkwo</t>
  </si>
  <si>
    <t>HH2490</t>
  </si>
  <si>
    <t>Aliyu Chukwu</t>
  </si>
  <si>
    <t>HH2188</t>
  </si>
  <si>
    <t>HH1319</t>
  </si>
  <si>
    <t>HH1742</t>
  </si>
  <si>
    <t>Peace Okonkwo</t>
  </si>
  <si>
    <t>HH2225</t>
  </si>
  <si>
    <t>Tunde Nwachukwu</t>
  </si>
  <si>
    <t>HH2261</t>
  </si>
  <si>
    <t>HH2270</t>
  </si>
  <si>
    <t>HH2148</t>
  </si>
  <si>
    <t>HH1049</t>
  </si>
  <si>
    <t>Suleiman Yusuf</t>
  </si>
  <si>
    <t>HH1059</t>
  </si>
  <si>
    <t>HH2230</t>
  </si>
  <si>
    <t>HH2497</t>
  </si>
  <si>
    <t>HH1461</t>
  </si>
  <si>
    <t>HH1534</t>
  </si>
  <si>
    <t>HH1628</t>
  </si>
  <si>
    <t>Bisi Adeyemi</t>
  </si>
  <si>
    <t>HH1928</t>
  </si>
  <si>
    <t>HH2269</t>
  </si>
  <si>
    <t>HH1950</t>
  </si>
  <si>
    <t>HH1525</t>
  </si>
  <si>
    <t>HH2343</t>
  </si>
  <si>
    <t>Musa Ogunleye</t>
  </si>
  <si>
    <t>HH1401</t>
  </si>
  <si>
    <t>HH2015</t>
  </si>
  <si>
    <t>HH1371</t>
  </si>
  <si>
    <t>HH1399</t>
  </si>
  <si>
    <t>HH2027</t>
  </si>
  <si>
    <t>Segun Adebayo</t>
  </si>
  <si>
    <t>HH2226</t>
  </si>
  <si>
    <t>HH1037</t>
  </si>
  <si>
    <t>HH1589</t>
  </si>
  <si>
    <t>HH1673</t>
  </si>
  <si>
    <t>Yusuf Aliyu</t>
  </si>
  <si>
    <t>HH2097</t>
  </si>
  <si>
    <t>HH1106</t>
  </si>
  <si>
    <t>HH1322</t>
  </si>
  <si>
    <t>HH1351</t>
  </si>
  <si>
    <t>HH1356</t>
  </si>
  <si>
    <t>HH1835</t>
  </si>
  <si>
    <t>HH1715</t>
  </si>
  <si>
    <t>Halima Suleiman</t>
  </si>
  <si>
    <t>HH1251</t>
  </si>
  <si>
    <t>HH2201</t>
  </si>
  <si>
    <t>Chinedu Balogun</t>
  </si>
  <si>
    <t>HH2336</t>
  </si>
  <si>
    <t>HH1847</t>
  </si>
  <si>
    <t>HH1390</t>
  </si>
  <si>
    <t>HH1443</t>
  </si>
  <si>
    <t>HH1567</t>
  </si>
  <si>
    <t>HH1215</t>
  </si>
  <si>
    <t>HH1794</t>
  </si>
  <si>
    <t>Bola Nwosu</t>
  </si>
  <si>
    <t>HH2493</t>
  </si>
  <si>
    <t>HH1909</t>
  </si>
  <si>
    <t>HH1056</t>
  </si>
  <si>
    <t>HH1668</t>
  </si>
  <si>
    <t>HH1632</t>
  </si>
  <si>
    <t>Emeka Mohammed</t>
  </si>
  <si>
    <t>HH1681</t>
  </si>
  <si>
    <t>HH1803</t>
  </si>
  <si>
    <t>Adaeze Chukwu</t>
  </si>
  <si>
    <t>HH1181</t>
  </si>
  <si>
    <t>HH1053</t>
  </si>
  <si>
    <t>HH2056</t>
  </si>
  <si>
    <t>HH2426</t>
  </si>
  <si>
    <t>Chiamaka Nwachukwu</t>
  </si>
  <si>
    <t>HH1151</t>
  </si>
  <si>
    <t>HH2304</t>
  </si>
  <si>
    <t>HH1827</t>
  </si>
  <si>
    <t>Aliyu Yusuf</t>
  </si>
  <si>
    <t>HH1524</t>
  </si>
  <si>
    <t>Yusuf Nwosu</t>
  </si>
  <si>
    <t>HH1021</t>
  </si>
  <si>
    <t>HH1405</t>
  </si>
  <si>
    <t>HH1257</t>
  </si>
  <si>
    <t>Grace Balogun</t>
  </si>
  <si>
    <t>HH1700</t>
  </si>
  <si>
    <t>HH1388</t>
  </si>
  <si>
    <t>HH1185</t>
  </si>
  <si>
    <t>Bisi Sani</t>
  </si>
  <si>
    <t>HH1043</t>
  </si>
  <si>
    <t>HH1473</t>
  </si>
  <si>
    <t>HH1852</t>
  </si>
  <si>
    <t>HH2130</t>
  </si>
  <si>
    <t>HH1340</t>
  </si>
  <si>
    <t>HH2105</t>
  </si>
  <si>
    <t>HH2166</t>
  </si>
  <si>
    <t>Ahmed Olawale</t>
  </si>
  <si>
    <t>HH2041</t>
  </si>
  <si>
    <t>HH2468</t>
  </si>
  <si>
    <t>HH1960</t>
  </si>
  <si>
    <t>Bisi Chukwu</t>
  </si>
  <si>
    <t>HH2137</t>
  </si>
  <si>
    <t>HH1315</t>
  </si>
  <si>
    <t>HH1329</t>
  </si>
  <si>
    <t>HH1512</t>
  </si>
  <si>
    <t>Emeka Adeyemi</t>
  </si>
  <si>
    <t>Chioma Yusuf</t>
  </si>
  <si>
    <t>HH1345</t>
  </si>
  <si>
    <t>Ahmed Ibekwe</t>
  </si>
  <si>
    <t>HH1832</t>
  </si>
  <si>
    <t>Obinna Ogunleye</t>
  </si>
  <si>
    <t>HH2002</t>
  </si>
  <si>
    <t>HH2481</t>
  </si>
  <si>
    <t>HH1772</t>
  </si>
  <si>
    <t>HH1066</t>
  </si>
  <si>
    <t>Rukayat Aliyu</t>
  </si>
  <si>
    <t>HH1932</t>
  </si>
  <si>
    <t>HH2475</t>
  </si>
  <si>
    <t>HH2375</t>
  </si>
  <si>
    <t>Wale Nwachukwu</t>
  </si>
  <si>
    <t>HH1643</t>
  </si>
  <si>
    <t>HH2348</t>
  </si>
  <si>
    <t>Titilayo Okonkwo</t>
  </si>
  <si>
    <t>HH1808</t>
  </si>
  <si>
    <t>HH1645</t>
  </si>
  <si>
    <t>HH1417</t>
  </si>
  <si>
    <t>HH2301</t>
  </si>
  <si>
    <t>HH2110</t>
  </si>
  <si>
    <t>HH1541</t>
  </si>
  <si>
    <t>Kunle Chukwu</t>
  </si>
  <si>
    <t>HH2383</t>
  </si>
  <si>
    <t>HH1313</t>
  </si>
  <si>
    <t>HH1306</t>
  </si>
  <si>
    <t>Kelechi Mohammed</t>
  </si>
  <si>
    <t>HH1940</t>
  </si>
  <si>
    <t>HH1129</t>
  </si>
  <si>
    <t>HH1395</t>
  </si>
  <si>
    <t>HH2484</t>
  </si>
  <si>
    <t>Amaka Adeyemi</t>
  </si>
  <si>
    <t>HH1326</t>
  </si>
  <si>
    <t>HH1191</t>
  </si>
  <si>
    <t>HH1722</t>
  </si>
  <si>
    <t>HH2064</t>
  </si>
  <si>
    <t>HH1993</t>
  </si>
  <si>
    <t>Tunde Eze</t>
  </si>
  <si>
    <t>HH1920</t>
  </si>
  <si>
    <t>HH1495</t>
  </si>
  <si>
    <t>HH2032</t>
  </si>
  <si>
    <t>HH1867</t>
  </si>
  <si>
    <t>Bola Okafor</t>
  </si>
  <si>
    <t>HH1384</t>
  </si>
  <si>
    <t>HH2115</t>
  </si>
  <si>
    <t>HH1652</t>
  </si>
  <si>
    <t>HH2277</t>
  </si>
  <si>
    <t>HH1397</t>
  </si>
  <si>
    <t>HH1946</t>
  </si>
  <si>
    <t>HH2128</t>
  </si>
  <si>
    <t>HH2499</t>
  </si>
  <si>
    <t>Segun Okoro</t>
  </si>
  <si>
    <t>HH1724</t>
  </si>
  <si>
    <t>HH1532</t>
  </si>
  <si>
    <t>HH1762</t>
  </si>
  <si>
    <t>Aliyu Adeyemi</t>
  </si>
  <si>
    <t>HH1161</t>
  </si>
  <si>
    <t>HH2260</t>
  </si>
  <si>
    <t>HH1936</t>
  </si>
  <si>
    <t>Blessing Abubakar</t>
  </si>
  <si>
    <t>HH2039</t>
  </si>
  <si>
    <t>HH2073</t>
  </si>
  <si>
    <t>HH2284</t>
  </si>
  <si>
    <t>Peace Okoro</t>
  </si>
  <si>
    <t>HH1020</t>
  </si>
  <si>
    <t>HH1569</t>
  </si>
  <si>
    <t>HH1653</t>
  </si>
  <si>
    <t>HH1696</t>
  </si>
  <si>
    <t>HH1481</t>
  </si>
  <si>
    <t>Ngozi Ogunleye</t>
  </si>
  <si>
    <t>HH1033</t>
  </si>
  <si>
    <t>HH2049</t>
  </si>
  <si>
    <t>HH1047</t>
  </si>
  <si>
    <t>HH1029</t>
  </si>
  <si>
    <t>HH2005</t>
  </si>
  <si>
    <t>Kunle Sani</t>
  </si>
  <si>
    <t>HH2328</t>
  </si>
  <si>
    <t>HH2150</t>
  </si>
  <si>
    <t>Grace Yusuf</t>
  </si>
  <si>
    <t>HH2333</t>
  </si>
  <si>
    <t>HH1510</t>
  </si>
  <si>
    <t>Halima Sani</t>
  </si>
  <si>
    <t>HH1530</t>
  </si>
  <si>
    <t>HH1922</t>
  </si>
  <si>
    <t>HH1501</t>
  </si>
  <si>
    <t>HH1432</t>
  </si>
  <si>
    <t>Musa Aliyu</t>
  </si>
  <si>
    <t>HH2476</t>
  </si>
  <si>
    <t>Halima Abubakar</t>
  </si>
  <si>
    <t>HH2386</t>
  </si>
  <si>
    <t>HH2283</t>
  </si>
  <si>
    <t>Nnamdi Yusuf</t>
  </si>
  <si>
    <t>HH1779</t>
  </si>
  <si>
    <t>HH1366</t>
  </si>
  <si>
    <t>HH2076</t>
  </si>
  <si>
    <t>HH2078</t>
  </si>
  <si>
    <t>HH1680</t>
  </si>
  <si>
    <t>Suleiman Okafor</t>
  </si>
  <si>
    <t>HH1812</t>
  </si>
  <si>
    <t>HH1735</t>
  </si>
  <si>
    <t>HH2048</t>
  </si>
  <si>
    <t>Kelechi Chukwu</t>
  </si>
  <si>
    <t>HH1298</t>
  </si>
  <si>
    <t>Musa Yusuf</t>
  </si>
  <si>
    <t>HH1556</t>
  </si>
  <si>
    <t>HH1575</t>
  </si>
  <si>
    <t>HH1018</t>
  </si>
  <si>
    <t>HH1225</t>
  </si>
  <si>
    <t>HH1599</t>
  </si>
  <si>
    <t>Musa Mohammed</t>
  </si>
  <si>
    <t>HH1419</t>
  </si>
  <si>
    <t>HH2185</t>
  </si>
  <si>
    <t>HH1218</t>
  </si>
  <si>
    <t>Yemisi Ogunleye</t>
  </si>
  <si>
    <t>HH1307</t>
  </si>
  <si>
    <t>HH1156</t>
  </si>
  <si>
    <t>HH1171</t>
  </si>
  <si>
    <t>Bukola Aliyu</t>
  </si>
  <si>
    <t>HH2206</t>
  </si>
  <si>
    <t>HH1705</t>
  </si>
  <si>
    <t>HH1286</t>
  </si>
  <si>
    <t>HH2090</t>
  </si>
  <si>
    <t>HH1453</t>
  </si>
  <si>
    <t>HH1071</t>
  </si>
  <si>
    <t>Musa Olawale</t>
  </si>
  <si>
    <t>HH1082</t>
  </si>
  <si>
    <t>HH2466</t>
  </si>
  <si>
    <t>HH1015</t>
  </si>
  <si>
    <t>HH1535</t>
  </si>
  <si>
    <t>HH2171</t>
  </si>
  <si>
    <t>HH1918</t>
  </si>
  <si>
    <t>HH1451</t>
  </si>
  <si>
    <t>HH2168</t>
  </si>
  <si>
    <t>Chinedu Ibekwe</t>
  </si>
  <si>
    <t>HH1404</t>
  </si>
  <si>
    <t>HH2411</t>
  </si>
  <si>
    <t>HH2369</t>
  </si>
  <si>
    <t>HH1739</t>
  </si>
  <si>
    <t>HH1364</t>
  </si>
  <si>
    <t>Ngozi Nwosu</t>
  </si>
  <si>
    <t>HH1104</t>
  </si>
  <si>
    <t>HH2417</t>
  </si>
  <si>
    <t>Chiamaka Yusuf</t>
  </si>
  <si>
    <t>HH2258</t>
  </si>
  <si>
    <t>HH1661</t>
  </si>
  <si>
    <t>HH1241</t>
  </si>
  <si>
    <t>HH1430</t>
  </si>
  <si>
    <t>Adaeze Suleiman</t>
  </si>
  <si>
    <t>HH1814</t>
  </si>
  <si>
    <t>HH1630</t>
  </si>
  <si>
    <t>Rukayat Suleiman</t>
  </si>
  <si>
    <t>HH1096</t>
  </si>
  <si>
    <t>HH1467</t>
  </si>
  <si>
    <t>HH1084</t>
  </si>
  <si>
    <t>HH1701</t>
  </si>
  <si>
    <t>Aisha Abubakar</t>
  </si>
  <si>
    <t>HH1009</t>
  </si>
  <si>
    <t>HH1604</t>
  </si>
  <si>
    <t>Yusuf Okafor</t>
  </si>
  <si>
    <t>HH1773</t>
  </si>
  <si>
    <t>HH2162</t>
  </si>
  <si>
    <t>HH1276</t>
  </si>
  <si>
    <t>Amaka Yusuf</t>
  </si>
  <si>
    <t>HH1088</t>
  </si>
  <si>
    <t>Funke Yusuf</t>
  </si>
  <si>
    <t>HH1090</t>
  </si>
  <si>
    <t>HH1765</t>
  </si>
  <si>
    <t>Ibrahim Nwachukwu</t>
  </si>
  <si>
    <t>HH1280</t>
  </si>
  <si>
    <t>HH2007</t>
  </si>
  <si>
    <t>HH1651</t>
  </si>
  <si>
    <t>HH1992</t>
  </si>
  <si>
    <t>HH1365</t>
  </si>
  <si>
    <t>Fatima Okoro</t>
  </si>
  <si>
    <t>HH1023</t>
  </si>
  <si>
    <t>HH1676</t>
  </si>
  <si>
    <t>HH1998</t>
  </si>
  <si>
    <t>HH2189</t>
  </si>
  <si>
    <t>HH1310</t>
  </si>
  <si>
    <t>HH2060</t>
  </si>
  <si>
    <t>Damilare Ibekwe</t>
  </si>
  <si>
    <t>HH1640</t>
  </si>
  <si>
    <t>Ifeanyi Nwachukwu</t>
  </si>
  <si>
    <t>HH1240</t>
  </si>
  <si>
    <t>HH1666</t>
  </si>
  <si>
    <t>HH2315</t>
  </si>
  <si>
    <t>HH1098</t>
  </si>
  <si>
    <t>HH1167</t>
  </si>
  <si>
    <t>HH1496</t>
  </si>
  <si>
    <t>HH1275</t>
  </si>
  <si>
    <t>Wale Eze</t>
  </si>
  <si>
    <t>HH2113</t>
  </si>
  <si>
    <t>Yusuf Adebayo</t>
  </si>
  <si>
    <t>HH1714</t>
  </si>
  <si>
    <t>HH2282</t>
  </si>
  <si>
    <t>Bisi Abubakar</t>
  </si>
  <si>
    <t>HH1331</t>
  </si>
  <si>
    <t>Musa Ibekwe</t>
  </si>
  <si>
    <t>HH1219</t>
  </si>
  <si>
    <t>HH1433</t>
  </si>
  <si>
    <t>HH2469</t>
  </si>
  <si>
    <t>HH2305</t>
  </si>
  <si>
    <t>Kelechi Sani</t>
  </si>
  <si>
    <t>HH1486</t>
  </si>
  <si>
    <t>Peace Olawale</t>
  </si>
  <si>
    <t>HH1531</t>
  </si>
  <si>
    <t>HH2431</t>
  </si>
  <si>
    <t>HH1260</t>
  </si>
  <si>
    <t>HH1810</t>
  </si>
  <si>
    <t>HH1305</t>
  </si>
  <si>
    <t>HH2287</t>
  </si>
  <si>
    <t>Funke Suleiman</t>
  </si>
  <si>
    <t>HH1196</t>
  </si>
  <si>
    <t>HH2164</t>
  </si>
  <si>
    <t>HH2146</t>
  </si>
  <si>
    <t>HH1110</t>
  </si>
  <si>
    <t>HH2108</t>
  </si>
  <si>
    <t>HH1513</t>
  </si>
  <si>
    <t>HH1691</t>
  </si>
  <si>
    <t>HH1369</t>
  </si>
  <si>
    <t>HH1793</t>
  </si>
  <si>
    <t>HH2098</t>
  </si>
  <si>
    <t>HH1926</t>
  </si>
  <si>
    <t>HH1273</t>
  </si>
  <si>
    <t>HH1396</t>
  </si>
  <si>
    <t>HH2178</t>
  </si>
  <si>
    <t>HH2215</t>
  </si>
  <si>
    <t>HH1797</t>
  </si>
  <si>
    <t>HH2211</t>
  </si>
  <si>
    <t>Funke Okoro</t>
  </si>
  <si>
    <t>HH2074</t>
  </si>
  <si>
    <t>HH2062</t>
  </si>
  <si>
    <t>Aisha Ogunleye</t>
  </si>
  <si>
    <t>HH1961</t>
  </si>
  <si>
    <t>HH1418</t>
  </si>
  <si>
    <t>HH2232</t>
  </si>
  <si>
    <t>HH1375</t>
  </si>
  <si>
    <t>Kemi Chukwu</t>
  </si>
  <si>
    <t>HH1463</t>
  </si>
  <si>
    <t>HH1470</t>
  </si>
  <si>
    <t>HH2099</t>
  </si>
  <si>
    <t>Chiamaka Suleiman</t>
  </si>
  <si>
    <t>HH1559</t>
  </si>
  <si>
    <t>HH1302</t>
  </si>
  <si>
    <t>HH1582</t>
  </si>
  <si>
    <t>HH1011</t>
  </si>
  <si>
    <t>HH2288</t>
  </si>
  <si>
    <t>HH1538</t>
  </si>
  <si>
    <t>HH1627</t>
  </si>
  <si>
    <t>HH1281</t>
  </si>
  <si>
    <t>HH1983</t>
  </si>
  <si>
    <t>Kemi Okoro</t>
  </si>
  <si>
    <t>HH1672</t>
  </si>
  <si>
    <t>HH2243</t>
  </si>
  <si>
    <t>HH1966</t>
  </si>
  <si>
    <t>Titilayo Ibekwe</t>
  </si>
  <si>
    <t>HH2149</t>
  </si>
  <si>
    <t>Chioma Balogun</t>
  </si>
  <si>
    <t>HH2093</t>
  </si>
  <si>
    <t>HH1994</t>
  </si>
  <si>
    <t>HH2045</t>
  </si>
  <si>
    <t>Femi Olawale</t>
  </si>
  <si>
    <t>HH1077</t>
  </si>
  <si>
    <t>HH1547</t>
  </si>
  <si>
    <t>HH1748</t>
  </si>
  <si>
    <t>HH1826</t>
  </si>
  <si>
    <t>HH1125</t>
  </si>
  <si>
    <t>HH2252</t>
  </si>
  <si>
    <t>HH1757</t>
  </si>
  <si>
    <t>HH2066</t>
  </si>
  <si>
    <t>Bisi Olawale</t>
  </si>
  <si>
    <t>HH1576</t>
  </si>
  <si>
    <t>HH1621</t>
  </si>
  <si>
    <t>HH1767</t>
  </si>
  <si>
    <t>Yusuf Okoro</t>
  </si>
  <si>
    <t>HH2229</t>
  </si>
  <si>
    <t>HH2030</t>
  </si>
  <si>
    <t>HH2385</t>
  </si>
  <si>
    <t>HH1802</t>
  </si>
  <si>
    <t>Kunle Balogun</t>
  </si>
  <si>
    <t>HH1844</t>
  </si>
  <si>
    <t>HH2294</t>
  </si>
  <si>
    <t>HH2384</t>
  </si>
  <si>
    <t>Suleiman Nwachukwu</t>
  </si>
  <si>
    <t>HH1259</t>
  </si>
  <si>
    <t>HH1282</t>
  </si>
  <si>
    <t>HH1634</t>
  </si>
  <si>
    <t>HH2444</t>
  </si>
  <si>
    <t>HH1474</t>
  </si>
  <si>
    <t>HH1455</t>
  </si>
  <si>
    <t>HH1320</t>
  </si>
  <si>
    <t>HH1434</t>
  </si>
  <si>
    <t>Bukola Okafor</t>
  </si>
  <si>
    <t>HH1299</t>
  </si>
  <si>
    <t>Aliyu Sani</t>
  </si>
  <si>
    <t>HH1436</t>
  </si>
  <si>
    <t>HH2397</t>
  </si>
  <si>
    <t>Ahmed Ogunleye</t>
  </si>
  <si>
    <t>HH1438</t>
  </si>
  <si>
    <t>HH1325</t>
  </si>
  <si>
    <t>HH1403</t>
  </si>
  <si>
    <t>HH2289</t>
  </si>
  <si>
    <t>HH1564</t>
  </si>
  <si>
    <t>HH1292</t>
  </si>
  <si>
    <t>HH1278</t>
  </si>
  <si>
    <t>HH1655</t>
  </si>
  <si>
    <t>HH2334</t>
  </si>
  <si>
    <t>Segun Okonkwo</t>
  </si>
  <si>
    <t>HH1732</t>
  </si>
  <si>
    <t>HH1553</t>
  </si>
  <si>
    <t>HH1094</t>
  </si>
  <si>
    <t>Segun Ogunleye</t>
  </si>
  <si>
    <t>HH2448</t>
  </si>
  <si>
    <t>Kelechi Yusuf</t>
  </si>
  <si>
    <t>HH2255</t>
  </si>
  <si>
    <t>Fatima Okafor</t>
  </si>
  <si>
    <t>HH1245</t>
  </si>
  <si>
    <t>HH2191</t>
  </si>
  <si>
    <t>HH1775</t>
  </si>
  <si>
    <t>HH1426</t>
  </si>
  <si>
    <t>HH2186</t>
  </si>
  <si>
    <t>HH1149</t>
  </si>
  <si>
    <t>HH1226</t>
  </si>
  <si>
    <t>HH1865</t>
  </si>
  <si>
    <t>Emeka Adebayo</t>
  </si>
  <si>
    <t>HH1967</t>
  </si>
  <si>
    <t>HH2118</t>
  </si>
  <si>
    <t>HH2245</t>
  </si>
  <si>
    <t>HH1900</t>
  </si>
  <si>
    <t>HH1699</t>
  </si>
  <si>
    <t>Wale Aliyu</t>
  </si>
  <si>
    <t>HH1601</t>
  </si>
  <si>
    <t>HH2291</t>
  </si>
  <si>
    <t>HH2058</t>
  </si>
  <si>
    <t>HH1217</t>
  </si>
  <si>
    <t>HH2096</t>
  </si>
  <si>
    <t>HH1817</t>
  </si>
  <si>
    <t>HH1220</t>
  </si>
  <si>
    <t>HH1213</t>
  </si>
  <si>
    <t>Tunde Aliyu</t>
  </si>
  <si>
    <t>HH2423</t>
  </si>
  <si>
    <t>Kelechi Adeyemi</t>
  </si>
  <si>
    <t>HH1907</t>
  </si>
  <si>
    <t>HH1394</t>
  </si>
  <si>
    <t>Emeka Ibekwe</t>
  </si>
  <si>
    <t>HH1367</t>
  </si>
  <si>
    <t>HH1924</t>
  </si>
  <si>
    <t>HH1012</t>
  </si>
  <si>
    <t>Ahmed Eze</t>
  </si>
  <si>
    <t>HH2413</t>
  </si>
  <si>
    <t>HH2222</t>
  </si>
  <si>
    <t>HH1234</t>
  </si>
  <si>
    <t>Aisha Olawale</t>
  </si>
  <si>
    <t>HH1695</t>
  </si>
  <si>
    <t>HH2084</t>
  </si>
  <si>
    <t>HH2439</t>
  </si>
  <si>
    <t>HH2495</t>
  </si>
  <si>
    <t>HH2321</t>
  </si>
  <si>
    <t>HH1063</t>
  </si>
  <si>
    <t>HH1734</t>
  </si>
  <si>
    <t>HH2023</t>
  </si>
  <si>
    <t>HH1964</t>
  </si>
  <si>
    <t>HH1607</t>
  </si>
  <si>
    <t>HH1013</t>
  </si>
  <si>
    <t>HH1839</t>
  </si>
  <si>
    <t>HH1435</t>
  </si>
  <si>
    <t>HH1017</t>
  </si>
  <si>
    <t>HH1764</t>
  </si>
  <si>
    <t>HH1348</t>
  </si>
  <si>
    <t>HH1207</t>
  </si>
  <si>
    <t>HH2114</t>
  </si>
  <si>
    <t>HH2331</t>
  </si>
  <si>
    <t>HH1341</t>
  </si>
  <si>
    <t>HH1344</t>
  </si>
  <si>
    <t>HH2374</t>
  </si>
  <si>
    <t>HH2406</t>
  </si>
  <si>
    <t>Wale Nwosu</t>
  </si>
  <si>
    <t>HH1551</t>
  </si>
  <si>
    <t>HH1598</t>
  </si>
  <si>
    <t>HH1032</t>
  </si>
  <si>
    <t>HH1372</t>
  </si>
  <si>
    <t>HH1657</t>
  </si>
  <si>
    <t>HH1172</t>
  </si>
  <si>
    <t>HH2086</t>
  </si>
  <si>
    <t>HH2416</t>
  </si>
  <si>
    <t>HH1408</t>
  </si>
  <si>
    <t>HH2050</t>
  </si>
  <si>
    <t>HH2460</t>
  </si>
  <si>
    <t>Femi Ibekwe</t>
  </si>
  <si>
    <t>HH1200</t>
  </si>
  <si>
    <t>HH2316</t>
  </si>
  <si>
    <t>HH1860</t>
  </si>
  <si>
    <t>HH2430</t>
  </si>
  <si>
    <t>HH2408</t>
  </si>
  <si>
    <t>HH2443</t>
  </si>
  <si>
    <t>HH2361</t>
  </si>
  <si>
    <t>HH1489</t>
  </si>
  <si>
    <t>HH2441</t>
  </si>
  <si>
    <t>HH1212</t>
  </si>
  <si>
    <t>HH1133</t>
  </si>
  <si>
    <t>HH1060</t>
  </si>
  <si>
    <t>Aisha Eze</t>
  </si>
  <si>
    <t>HH1690</t>
  </si>
  <si>
    <t>HH1026</t>
  </si>
  <si>
    <t>HH1100</t>
  </si>
  <si>
    <t>HH1974</t>
  </si>
  <si>
    <t>HH1776</t>
  </si>
  <si>
    <t>HH1788</t>
  </si>
  <si>
    <t>HH1520</t>
  </si>
  <si>
    <t>HH1363</t>
  </si>
  <si>
    <t>HH1309</t>
  </si>
  <si>
    <t>HH1795</t>
  </si>
  <si>
    <t>Amaka Mohammed</t>
  </si>
  <si>
    <t>HH1828</t>
  </si>
  <si>
    <t>Chioma Ogunleye</t>
  </si>
  <si>
    <t>HH2276</t>
  </si>
  <si>
    <t>HH1544</t>
  </si>
  <si>
    <t>HH1939</t>
  </si>
  <si>
    <t>HH1441</t>
  </si>
  <si>
    <t>HH1647</t>
  </si>
  <si>
    <t>Ngozi Okonkwo</t>
  </si>
  <si>
    <t>HH2003</t>
  </si>
  <si>
    <t>HH1476</t>
  </si>
  <si>
    <t>HH2046</t>
  </si>
  <si>
    <t>Ibrahim Okoro</t>
  </si>
  <si>
    <t>HH1062</t>
  </si>
  <si>
    <t>HH2172</t>
  </si>
  <si>
    <t>HH1483</t>
  </si>
  <si>
    <t>HH2026</t>
  </si>
  <si>
    <t>HH2281</t>
  </si>
  <si>
    <t>HH1052</t>
  </si>
  <si>
    <t>HH1242</t>
  </si>
  <si>
    <t>HH2197</t>
  </si>
  <si>
    <t>HH1035</t>
  </si>
  <si>
    <t>HH2202</t>
  </si>
  <si>
    <t>HH1738</t>
  </si>
  <si>
    <t>HH1120</t>
  </si>
  <si>
    <t>HH2472</t>
  </si>
  <si>
    <t>HH2299</t>
  </si>
  <si>
    <t>HH2019</t>
  </si>
  <si>
    <t>Adaeze Eze</t>
  </si>
  <si>
    <t>HH1044</t>
  </si>
  <si>
    <t>HH2324</t>
  </si>
  <si>
    <t>Wale Suleiman</t>
  </si>
  <si>
    <t>HH1076</t>
  </si>
  <si>
    <t>HH1368</t>
  </si>
  <si>
    <t>Hauwa Yusuf</t>
  </si>
  <si>
    <t>HH1906</t>
  </si>
  <si>
    <t>HH2236</t>
  </si>
  <si>
    <t>HH1267</t>
  </si>
  <si>
    <t>HH2335</t>
  </si>
  <si>
    <t>HH1728</t>
  </si>
  <si>
    <t>HH1444</t>
  </si>
  <si>
    <t>HH1503</t>
  </si>
  <si>
    <t>HH2057</t>
  </si>
  <si>
    <t>HH2033</t>
  </si>
  <si>
    <t>HH2184</t>
  </si>
  <si>
    <t>HH1285</t>
  </si>
  <si>
    <t>HH1295</t>
  </si>
  <si>
    <t>HH1625</t>
  </si>
  <si>
    <t>HH1277</t>
  </si>
  <si>
    <t>HH2461</t>
  </si>
  <si>
    <t>Blessing Adebayo</t>
  </si>
  <si>
    <t>HH1484</t>
  </si>
  <si>
    <t>HH1182</t>
  </si>
  <si>
    <t>HH1970</t>
  </si>
  <si>
    <t>HH2494</t>
  </si>
  <si>
    <t>HH1684</t>
  </si>
  <si>
    <t>HH1036</t>
  </si>
  <si>
    <t>HH2180</t>
  </si>
  <si>
    <t>HH1002</t>
  </si>
  <si>
    <t>HH1754</t>
  </si>
  <si>
    <t>Amaka Ogunleye</t>
  </si>
  <si>
    <t>HH1508</t>
  </si>
  <si>
    <t>HH1497</t>
  </si>
  <si>
    <t>HH1308</t>
  </si>
  <si>
    <t>HH2313</t>
  </si>
  <si>
    <t>HH2438</t>
  </si>
  <si>
    <t>Grace Mohammed</t>
  </si>
  <si>
    <t>HH2445</t>
  </si>
  <si>
    <t>HH1141</t>
  </si>
  <si>
    <t>HH2247</t>
  </si>
  <si>
    <t>HH1864</t>
  </si>
  <si>
    <t>HH1183</t>
  </si>
  <si>
    <t>Emeka Balogun</t>
  </si>
  <si>
    <t>HH2485</t>
  </si>
  <si>
    <t>HH2010</t>
  </si>
  <si>
    <t>HH1912</t>
  </si>
  <si>
    <t>HH1848</t>
  </si>
  <si>
    <t>HH1511</t>
  </si>
  <si>
    <t>Peace Mohammed</t>
  </si>
  <si>
    <t>HH1731</t>
  </si>
  <si>
    <t>Yusuf Nwachukwu</t>
  </si>
  <si>
    <t>HH1996</t>
  </si>
  <si>
    <t>HH1887</t>
  </si>
  <si>
    <t>HH1117</t>
  </si>
  <si>
    <t>HH2025</t>
  </si>
  <si>
    <t>HH1113</t>
  </si>
  <si>
    <t>HH1545</t>
  </si>
  <si>
    <t>HH1165</t>
  </si>
  <si>
    <t>HH1184</t>
  </si>
  <si>
    <t>HH2396</t>
  </si>
  <si>
    <t>HH1274</t>
  </si>
  <si>
    <t>Wale Yusuf</t>
  </si>
  <si>
    <t>HH2001</t>
  </si>
  <si>
    <t>HH2024</t>
  </si>
  <si>
    <t>HH1383</t>
  </si>
  <si>
    <t>HH2429</t>
  </si>
  <si>
    <t>HH1561</t>
  </si>
  <si>
    <t>HH1862</t>
  </si>
  <si>
    <t>HH2044</t>
  </si>
  <si>
    <t>HH1176</t>
  </si>
  <si>
    <t>HH2359</t>
  </si>
  <si>
    <t>HH1379</t>
  </si>
  <si>
    <t>Bukola Eze</t>
  </si>
  <si>
    <t>HH2195</t>
  </si>
  <si>
    <t>HH2016</t>
  </si>
  <si>
    <t>HH1519</t>
  </si>
  <si>
    <t>HH1830</t>
  </si>
  <si>
    <t>HH1507</t>
  </si>
  <si>
    <t>HH2176</t>
  </si>
  <si>
    <t>HH1413</t>
  </si>
  <si>
    <t>HH1622</t>
  </si>
  <si>
    <t>HH1872</t>
  </si>
  <si>
    <t>HH1858</t>
  </si>
  <si>
    <t>HH1641</t>
  </si>
  <si>
    <t>HH2340</t>
  </si>
  <si>
    <t>HH1258</t>
  </si>
  <si>
    <t>HH1834</t>
  </si>
  <si>
    <t>HH1662</t>
  </si>
  <si>
    <t>HH1337</t>
  </si>
  <si>
    <t>HH1398</t>
  </si>
  <si>
    <t>HH2447</t>
  </si>
  <si>
    <t>HH1605</t>
  </si>
  <si>
    <t>HH1480</t>
  </si>
  <si>
    <t>HH2446</t>
  </si>
  <si>
    <t>HH2143</t>
  </si>
  <si>
    <t>HH1917</t>
  </si>
  <si>
    <t>HH2017</t>
  </si>
  <si>
    <t>HH1875</t>
  </si>
  <si>
    <t>HH1659</t>
  </si>
  <si>
    <t>HH2021</t>
  </si>
  <si>
    <t>Kunle Aliyu</t>
  </si>
  <si>
    <t>HH1789</t>
  </si>
  <si>
    <t>HH1256</t>
  </si>
  <si>
    <t>HH1968</t>
  </si>
  <si>
    <t>HH1952</t>
  </si>
  <si>
    <t>HH2273</t>
  </si>
  <si>
    <t>No Formal Education</t>
  </si>
  <si>
    <t>Post Graduate</t>
  </si>
  <si>
    <t>HH2205</t>
  </si>
  <si>
    <t>HH1975</t>
  </si>
  <si>
    <t>Aisha Chukwu</t>
  </si>
  <si>
    <t>HH2193</t>
  </si>
  <si>
    <t>HH2265</t>
  </si>
  <si>
    <t>HH1927</t>
  </si>
  <si>
    <t>Bola Yusuf</t>
  </si>
  <si>
    <t>HH1552</t>
  </si>
  <si>
    <t>HH1944</t>
  </si>
  <si>
    <t>HH1851</t>
  </si>
  <si>
    <t>HH1353</t>
  </si>
  <si>
    <t>HH1818</t>
  </si>
  <si>
    <t>HH1425</t>
  </si>
  <si>
    <t>HH1146</t>
  </si>
  <si>
    <t>Obinna Okonkwo</t>
  </si>
  <si>
    <t>HH1763</t>
  </si>
  <si>
    <t>HH1502</t>
  </si>
  <si>
    <t>HH1648</t>
  </si>
  <si>
    <t>HH2065</t>
  </si>
  <si>
    <t>HH1008</t>
  </si>
  <si>
    <t>HH1022</t>
  </si>
  <si>
    <t>Aisha Yusuf</t>
  </si>
  <si>
    <t>HH1010</t>
  </si>
  <si>
    <t>Chinedu Mohammed</t>
  </si>
  <si>
    <t>HH1723</t>
  </si>
  <si>
    <t>Suleiman Ibekwe</t>
  </si>
  <si>
    <t>Fatima Sani</t>
  </si>
  <si>
    <t>HH2190</t>
  </si>
  <si>
    <t>Uche Adebayo</t>
  </si>
  <si>
    <t>HH1785</t>
  </si>
  <si>
    <t>HH2111</t>
  </si>
  <si>
    <t>HH1338</t>
  </si>
  <si>
    <t>HH1346</t>
  </si>
  <si>
    <t>HH1683</t>
  </si>
  <si>
    <t>HH1253</t>
  </si>
  <si>
    <t>HH2218</t>
  </si>
  <si>
    <t>HH1572</t>
  </si>
  <si>
    <t>HH2480</t>
  </si>
  <si>
    <t>HH2181</t>
  </si>
  <si>
    <t>Chinedu Abubakar</t>
  </si>
  <si>
    <t>Halima Nwachukwu</t>
  </si>
  <si>
    <t>HH1878</t>
  </si>
  <si>
    <t>Hauwa Olawale</t>
  </si>
  <si>
    <t>HH1494</t>
  </si>
  <si>
    <t>HH1798</t>
  </si>
  <si>
    <t>HH1223</t>
  </si>
  <si>
    <t>HH1580</t>
  </si>
  <si>
    <t>Uche Suleiman</t>
  </si>
  <si>
    <t>HH2477</t>
  </si>
  <si>
    <t>HH1945</t>
  </si>
  <si>
    <t>Yusuf Olawale</t>
  </si>
  <si>
    <t>HH1836</t>
  </si>
  <si>
    <t>HH1704</t>
  </si>
  <si>
    <t>Peace Adebayo</t>
  </si>
  <si>
    <t>HH2498</t>
  </si>
  <si>
    <t>age_for_use</t>
  </si>
  <si>
    <t>age_imputation</t>
  </si>
  <si>
    <t>Mean</t>
  </si>
  <si>
    <t>Standard Error</t>
  </si>
  <si>
    <t>Median</t>
  </si>
  <si>
    <t>Mode</t>
  </si>
  <si>
    <t>Standard Deviation</t>
  </si>
  <si>
    <t>Sample Variance</t>
  </si>
  <si>
    <t>Kurtosis</t>
  </si>
  <si>
    <t>Skewness</t>
  </si>
  <si>
    <t>Range</t>
  </si>
  <si>
    <t>Minimum</t>
  </si>
  <si>
    <t>Maximum</t>
  </si>
  <si>
    <t>Sum</t>
  </si>
  <si>
    <t>Count</t>
  </si>
  <si>
    <t xml:space="preserve">State </t>
  </si>
  <si>
    <t>Age Mean</t>
  </si>
  <si>
    <t>Age Median</t>
  </si>
  <si>
    <t>Age SD</t>
  </si>
  <si>
    <t>Age Skewness</t>
  </si>
  <si>
    <t>Income Mean</t>
  </si>
  <si>
    <t>Income Median</t>
  </si>
  <si>
    <t xml:space="preserve">Income SD </t>
  </si>
  <si>
    <t>Income Skewness</t>
  </si>
  <si>
    <t>ANALYSIS BY STATE</t>
  </si>
  <si>
    <t>OVERALL AGE ANALYSIS</t>
  </si>
  <si>
    <t>OVERALL INCOME ANALYSIS</t>
  </si>
  <si>
    <t>Item</t>
  </si>
  <si>
    <t>Value</t>
  </si>
  <si>
    <t>Mean Income</t>
  </si>
  <si>
    <t>Margin of Error</t>
  </si>
  <si>
    <t>Lower Limit</t>
  </si>
  <si>
    <t>Upper Limit</t>
  </si>
  <si>
    <t xml:space="preserve"> 95% CI for mean monthly income, overall </t>
  </si>
  <si>
    <t xml:space="preserve"> 95% CI for mean monthly income for Lagos state</t>
  </si>
  <si>
    <t>Male Income</t>
  </si>
  <si>
    <t>Female Income</t>
  </si>
  <si>
    <t>t-Test: Two-Sample Assuming Unequal Variances</t>
  </si>
  <si>
    <t>Variance</t>
  </si>
  <si>
    <t>Observations</t>
  </si>
  <si>
    <t>Hypothesized Mean Difference</t>
  </si>
  <si>
    <t>df</t>
  </si>
  <si>
    <t>t Stat</t>
  </si>
  <si>
    <t>P(T&lt;=t) one-tail</t>
  </si>
  <si>
    <t>t Critical one-tail</t>
  </si>
  <si>
    <t>P(T&lt;=t) two-tail</t>
  </si>
  <si>
    <t>t Critical two-tail</t>
  </si>
  <si>
    <r>
      <rPr>
        <vertAlign val="subscript"/>
        <sz val="11"/>
        <color theme="1"/>
        <rFont val="Calibri"/>
        <family val="2"/>
        <scheme val="minor"/>
      </rPr>
      <t>Ho</t>
    </r>
    <r>
      <rPr>
        <sz val="11"/>
        <color theme="1"/>
        <rFont val="Calibri"/>
        <family val="2"/>
        <scheme val="minor"/>
      </rPr>
      <t xml:space="preserve"> : There is no difference in mean monthly income between male and female respondents</t>
    </r>
  </si>
  <si>
    <t>H1 : There is difference in mean monthly income between male and female respondents</t>
  </si>
  <si>
    <t>Is education level assocciated with employment level?</t>
  </si>
  <si>
    <t>Ho: Education level and employment level are not associated</t>
  </si>
  <si>
    <t>H1: Education level and employment level are associated</t>
  </si>
  <si>
    <t>Grand Total</t>
  </si>
  <si>
    <t>Count of household_id</t>
  </si>
  <si>
    <t>Education_Level</t>
  </si>
  <si>
    <t>X2</t>
  </si>
  <si>
    <t>Fail to reject the null hopothesis</t>
  </si>
  <si>
    <t>Education level and employment level are not associated</t>
  </si>
  <si>
    <t>SUMMARY OUTPUT</t>
  </si>
  <si>
    <t>Regression Statistics</t>
  </si>
  <si>
    <t>Multiple R</t>
  </si>
  <si>
    <t>R Square</t>
  </si>
  <si>
    <t>Adjusted R Square</t>
  </si>
  <si>
    <t>ANOVA</t>
  </si>
  <si>
    <t>Regression</t>
  </si>
  <si>
    <t>Residual</t>
  </si>
  <si>
    <t>Total</t>
  </si>
  <si>
    <t>Intercept</t>
  </si>
  <si>
    <t>SS</t>
  </si>
  <si>
    <t>MS</t>
  </si>
  <si>
    <t>F</t>
  </si>
  <si>
    <t>Significance F</t>
  </si>
  <si>
    <t>Coefficients</t>
  </si>
  <si>
    <t>P-value</t>
  </si>
  <si>
    <t>Lower 95%</t>
  </si>
  <si>
    <t>Upper 95%</t>
  </si>
  <si>
    <t>Lower 95.0%</t>
  </si>
  <si>
    <t>Upper 95.0%</t>
  </si>
  <si>
    <t>RESIDUAL OUTPUT</t>
  </si>
  <si>
    <t>Observation</t>
  </si>
  <si>
    <t>Residuals</t>
  </si>
  <si>
    <t>Predicted monthly_income_naira</t>
  </si>
  <si>
    <t>Education Code</t>
  </si>
  <si>
    <t xml:space="preserve">Task 5 </t>
  </si>
  <si>
    <t>R2</t>
  </si>
  <si>
    <t>Education Coefficient</t>
  </si>
  <si>
    <t>p-value</t>
  </si>
  <si>
    <t>The relationship is not statistically significant</t>
  </si>
  <si>
    <t>Education explains only about 0.2% of the differences in monthly income.</t>
  </si>
  <si>
    <t>This dataset is a survey sample, so the results can only be generalized if the respondents fairly represent the wider proportion being studies.</t>
  </si>
  <si>
    <t>The sample should include people from different states,age groups, education levels, employment groups, and both sexes in reasonable proportions.</t>
  </si>
  <si>
    <t>The results could be biased if some groups were underepresented, or overrepresented, if respondents were selected only from certauin locations, or if people with particular income were more likely to take part.</t>
  </si>
  <si>
    <t>Conclusion</t>
  </si>
  <si>
    <t>Each 1 level in education is linked with about #1,523 higher monthly income on average.</t>
  </si>
  <si>
    <t>#1523.47</t>
  </si>
  <si>
    <t>Expected Observations</t>
  </si>
  <si>
    <t>Employment_Group</t>
  </si>
  <si>
    <t>Actual 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</si>
</sst>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14"/>
      <color theme="1"/>
      <name val="Calibri"/>
      <family val="2"/>
      <scheme val="minor"/>
    </font>
    <font>
      <vertAlign val="subscript"/>
      <sz val="11"/>
      <color theme="1"/>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xf numFmtId="0" fontId="16" fillId="0" borderId="0" xfId="0" applyFont="1"/>
    <xf numFmtId="0" fontId="19" fillId="0" borderId="11" xfId="0" applyFont="1" applyFill="1" applyBorder="1" applyAlignment="1">
      <alignment horizontal="centerContinuous"/>
    </xf>
    <xf numFmtId="0" fontId="16" fillId="0" borderId="12" xfId="0" applyFont="1" applyBorder="1"/>
    <xf numFmtId="0" fontId="0" fillId="0" borderId="12" xfId="0" applyBorder="1"/>
    <xf numFmtId="0" fontId="20" fillId="0" borderId="0" xfId="0" applyFont="1"/>
    <xf numFmtId="0" fontId="0" fillId="0" borderId="0" xfId="0" applyAlignment="1">
      <alignment horizontal="left"/>
    </xf>
    <xf numFmtId="0" fontId="16" fillId="33" borderId="14" xfId="0" applyFont="1" applyFill="1" applyBorder="1" applyAlignment="1">
      <alignment horizontal="left"/>
    </xf>
    <xf numFmtId="0" fontId="16" fillId="33" borderId="13" xfId="0" applyFont="1" applyFill="1" applyBorder="1"/>
    <xf numFmtId="0" fontId="0" fillId="0" borderId="0" xfId="0" applyNumberFormat="1"/>
    <xf numFmtId="0" fontId="16" fillId="33" borderId="14" xfId="0" applyNumberFormat="1" applyFont="1" applyFill="1" applyBorder="1"/>
    <xf numFmtId="2" fontId="0" fillId="0" borderId="0" xfId="0" applyNumberFormat="1"/>
    <xf numFmtId="164" fontId="0" fillId="0" borderId="0" xfId="0" applyNumberFormat="1"/>
    <xf numFmtId="0" fontId="16" fillId="33" borderId="0" xfId="0" applyFont="1" applyFill="1" applyBorder="1"/>
    <xf numFmtId="0" fontId="22" fillId="0" borderId="0" xfId="0" applyFont="1"/>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00000000-0016-0000-0100-000000000000}" autoFormatId="16" applyNumberFormats="0" applyBorderFormats="0" applyFontFormats="0" applyPatternFormats="0" applyAlignmentFormats="0" applyWidthHeightFormats="0">
  <queryTableRefresh nextId="14">
    <queryTableFields count="13">
      <queryTableField id="1" name="household_id" tableColumnId="1"/>
      <queryTableField id="2" name="respondent_name" tableColumnId="2"/>
      <queryTableField id="3" name="state" tableColumnId="3"/>
      <queryTableField id="4" name="age_for_use" tableColumnId="4"/>
      <queryTableField id="5" name="age" tableColumnId="5"/>
      <queryTableField id="6" name="age_imputation" tableColumnId="6"/>
      <queryTableField id="7" name="sex" tableColumnId="7"/>
      <queryTableField id="8" name="marital_status" tableColumnId="8"/>
      <queryTableField id="9" name="education_level" tableColumnId="9"/>
      <queryTableField id="10" name="employment_status" tableColumnId="10"/>
      <queryTableField id="11" name="monthly_income_naira" tableColumnId="11"/>
      <queryTableField id="12" name="household_size" tableColumnId="12"/>
      <queryTableField id="13" name="survey_date"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leaned_data" displayName="cleaned_data" ref="A1:M1501" tableType="queryTable" totalsRowShown="0">
  <autoFilter ref="A1:M1501" xr:uid="{00000000-0009-0000-0100-000004000000}"/>
  <tableColumns count="13">
    <tableColumn id="1" xr3:uid="{00000000-0010-0000-0000-000001000000}" uniqueName="1" name="household_id" queryTableFieldId="1"/>
    <tableColumn id="2" xr3:uid="{00000000-0010-0000-0000-000002000000}" uniqueName="2" name="respondent_name" queryTableFieldId="2"/>
    <tableColumn id="3" xr3:uid="{00000000-0010-0000-0000-000003000000}" uniqueName="3" name="state" queryTableFieldId="3"/>
    <tableColumn id="4" xr3:uid="{00000000-0010-0000-0000-000004000000}" uniqueName="4" name="age_for_use" queryTableFieldId="4"/>
    <tableColumn id="5" xr3:uid="{00000000-0010-0000-0000-000005000000}" uniqueName="5" name="age" queryTableFieldId="5"/>
    <tableColumn id="6" xr3:uid="{00000000-0010-0000-0000-000006000000}" uniqueName="6" name="age_imputation" queryTableFieldId="6"/>
    <tableColumn id="7" xr3:uid="{00000000-0010-0000-0000-000007000000}" uniqueName="7" name="sex" queryTableFieldId="7"/>
    <tableColumn id="8" xr3:uid="{00000000-0010-0000-0000-000008000000}" uniqueName="8" name="marital_status" queryTableFieldId="8"/>
    <tableColumn id="9" xr3:uid="{00000000-0010-0000-0000-000009000000}" uniqueName="9" name="education_level" queryTableFieldId="9"/>
    <tableColumn id="10" xr3:uid="{00000000-0010-0000-0000-00000A000000}" uniqueName="10" name="employment_status" queryTableFieldId="10"/>
    <tableColumn id="11" xr3:uid="{00000000-0010-0000-0000-00000B000000}" uniqueName="11" name="monthly_income_naira" queryTableFieldId="11"/>
    <tableColumn id="12" xr3:uid="{00000000-0010-0000-0000-00000C000000}" uniqueName="12" name="household_size" queryTableFieldId="12"/>
    <tableColumn id="13" xr3:uid="{00000000-0010-0000-0000-00000D000000}" uniqueName="13" name="survey_date" queryTableFieldId="1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01"/>
  <sheetViews>
    <sheetView topLeftCell="A2" workbookViewId="0">
      <selection activeCell="H13" sqref="H13"/>
    </sheetView>
  </sheetViews>
  <sheetFormatPr defaultRowHeight="14.5" x14ac:dyDescent="0.35"/>
  <cols>
    <col min="1" max="1" width="14.453125" bestFit="1" customWidth="1"/>
    <col min="2" max="2" width="19.90625" bestFit="1" customWidth="1"/>
    <col min="3" max="3" width="8.54296875" bestFit="1" customWidth="1"/>
    <col min="4" max="4" width="13.36328125" bestFit="1" customWidth="1"/>
    <col min="5" max="5" width="6" bestFit="1" customWidth="1"/>
    <col min="6" max="6" width="16.453125" bestFit="1" customWidth="1"/>
    <col min="7" max="7" width="6.81640625" bestFit="1" customWidth="1"/>
    <col min="8" max="8" width="15.36328125" bestFit="1" customWidth="1"/>
    <col min="9" max="9" width="18.36328125" bestFit="1" customWidth="1"/>
    <col min="10" max="10" width="20.08984375" bestFit="1" customWidth="1"/>
    <col min="11" max="11" width="22.6328125" bestFit="1" customWidth="1"/>
    <col min="12" max="12" width="16.08984375" bestFit="1" customWidth="1"/>
    <col min="13" max="13" width="14.54296875" style="1" bestFit="1" customWidth="1"/>
  </cols>
  <sheetData>
    <row r="1" spans="1:13" x14ac:dyDescent="0.35">
      <c r="A1" t="s">
        <v>0</v>
      </c>
      <c r="B1" t="s">
        <v>1</v>
      </c>
      <c r="C1" t="s">
        <v>2</v>
      </c>
      <c r="D1" t="s">
        <v>2210</v>
      </c>
      <c r="E1" t="s">
        <v>3</v>
      </c>
      <c r="F1" t="s">
        <v>2211</v>
      </c>
      <c r="G1" t="s">
        <v>4</v>
      </c>
      <c r="H1" t="s">
        <v>5</v>
      </c>
      <c r="I1" t="s">
        <v>6</v>
      </c>
      <c r="J1" t="s">
        <v>7</v>
      </c>
      <c r="K1" t="s">
        <v>8</v>
      </c>
      <c r="L1" t="s">
        <v>9</v>
      </c>
      <c r="M1" s="1" t="s">
        <v>10</v>
      </c>
    </row>
    <row r="2" spans="1:13" x14ac:dyDescent="0.35">
      <c r="A2" t="s">
        <v>11</v>
      </c>
      <c r="B2" t="s">
        <v>12</v>
      </c>
      <c r="C2" t="s">
        <v>13</v>
      </c>
      <c r="D2">
        <v>34</v>
      </c>
      <c r="E2">
        <v>34</v>
      </c>
      <c r="F2">
        <v>0</v>
      </c>
      <c r="G2" t="s">
        <v>14</v>
      </c>
      <c r="H2" t="s">
        <v>32</v>
      </c>
      <c r="I2" t="s">
        <v>15</v>
      </c>
      <c r="J2" t="s">
        <v>16</v>
      </c>
      <c r="L2">
        <v>5</v>
      </c>
      <c r="M2" s="1">
        <v>45506</v>
      </c>
    </row>
    <row r="3" spans="1:13" x14ac:dyDescent="0.35">
      <c r="A3" t="s">
        <v>21</v>
      </c>
      <c r="B3" t="s">
        <v>22</v>
      </c>
      <c r="C3" t="s">
        <v>13</v>
      </c>
      <c r="D3">
        <v>33</v>
      </c>
      <c r="E3">
        <v>33</v>
      </c>
      <c r="F3">
        <v>0</v>
      </c>
      <c r="G3" t="s">
        <v>14</v>
      </c>
      <c r="H3" t="s">
        <v>19</v>
      </c>
      <c r="I3" t="s">
        <v>105</v>
      </c>
      <c r="J3" t="s">
        <v>20</v>
      </c>
      <c r="K3">
        <v>30000</v>
      </c>
      <c r="L3">
        <v>2</v>
      </c>
      <c r="M3" s="1">
        <v>45517</v>
      </c>
    </row>
    <row r="4" spans="1:13" x14ac:dyDescent="0.35">
      <c r="A4" t="s">
        <v>23</v>
      </c>
      <c r="B4" t="s">
        <v>24</v>
      </c>
      <c r="C4" t="s">
        <v>13</v>
      </c>
      <c r="D4">
        <v>34</v>
      </c>
      <c r="E4">
        <v>34</v>
      </c>
      <c r="F4">
        <v>0</v>
      </c>
      <c r="G4" t="s">
        <v>25</v>
      </c>
      <c r="H4" t="s">
        <v>19</v>
      </c>
      <c r="I4" t="s">
        <v>15</v>
      </c>
      <c r="J4" t="s">
        <v>26</v>
      </c>
      <c r="L4">
        <v>2</v>
      </c>
      <c r="M4" s="1">
        <v>45457</v>
      </c>
    </row>
    <row r="5" spans="1:13" x14ac:dyDescent="0.35">
      <c r="A5" t="s">
        <v>33</v>
      </c>
      <c r="B5" t="s">
        <v>34</v>
      </c>
      <c r="C5" t="s">
        <v>13</v>
      </c>
      <c r="D5">
        <v>41</v>
      </c>
      <c r="E5">
        <v>41</v>
      </c>
      <c r="F5">
        <v>0</v>
      </c>
      <c r="G5" t="s">
        <v>14</v>
      </c>
      <c r="H5" t="s">
        <v>58</v>
      </c>
      <c r="I5" t="s">
        <v>105</v>
      </c>
      <c r="J5" t="s">
        <v>16</v>
      </c>
      <c r="L5">
        <v>4</v>
      </c>
      <c r="M5" s="1">
        <v>45419</v>
      </c>
    </row>
    <row r="6" spans="1:13" x14ac:dyDescent="0.35">
      <c r="A6" t="s">
        <v>17</v>
      </c>
      <c r="B6" t="s">
        <v>18</v>
      </c>
      <c r="C6" t="s">
        <v>130</v>
      </c>
      <c r="D6">
        <v>43</v>
      </c>
      <c r="E6">
        <v>43</v>
      </c>
      <c r="F6">
        <v>0</v>
      </c>
      <c r="G6" t="s">
        <v>14</v>
      </c>
      <c r="H6" t="s">
        <v>19</v>
      </c>
      <c r="I6" t="s">
        <v>15</v>
      </c>
      <c r="J6" t="s">
        <v>20</v>
      </c>
      <c r="K6">
        <v>36683</v>
      </c>
      <c r="L6">
        <v>9</v>
      </c>
      <c r="M6" s="1">
        <v>45451</v>
      </c>
    </row>
    <row r="7" spans="1:13" x14ac:dyDescent="0.35">
      <c r="A7" t="s">
        <v>27</v>
      </c>
      <c r="B7" t="s">
        <v>28</v>
      </c>
      <c r="C7" t="s">
        <v>29</v>
      </c>
      <c r="D7">
        <v>56</v>
      </c>
      <c r="E7">
        <v>56</v>
      </c>
      <c r="F7">
        <v>0</v>
      </c>
      <c r="G7" t="s">
        <v>25</v>
      </c>
      <c r="H7" t="s">
        <v>58</v>
      </c>
      <c r="I7" t="s">
        <v>88</v>
      </c>
      <c r="J7" t="s">
        <v>16</v>
      </c>
      <c r="L7">
        <v>5</v>
      </c>
      <c r="M7" s="1">
        <v>45561</v>
      </c>
    </row>
    <row r="8" spans="1:13" x14ac:dyDescent="0.35">
      <c r="A8" t="s">
        <v>41</v>
      </c>
      <c r="B8" t="s">
        <v>42</v>
      </c>
      <c r="C8" t="s">
        <v>29</v>
      </c>
      <c r="D8">
        <v>64</v>
      </c>
      <c r="E8">
        <v>64</v>
      </c>
      <c r="F8">
        <v>0</v>
      </c>
      <c r="G8" t="s">
        <v>25</v>
      </c>
      <c r="H8" t="s">
        <v>99</v>
      </c>
      <c r="I8" t="s">
        <v>15</v>
      </c>
      <c r="J8" t="s">
        <v>20</v>
      </c>
      <c r="K8">
        <v>30000</v>
      </c>
      <c r="L8">
        <v>4</v>
      </c>
      <c r="M8" s="1">
        <v>45472</v>
      </c>
    </row>
    <row r="9" spans="1:13" x14ac:dyDescent="0.35">
      <c r="A9" t="s">
        <v>30</v>
      </c>
      <c r="B9" t="s">
        <v>31</v>
      </c>
      <c r="C9" t="s">
        <v>45</v>
      </c>
      <c r="D9">
        <v>21</v>
      </c>
      <c r="E9">
        <v>21</v>
      </c>
      <c r="F9">
        <v>0</v>
      </c>
      <c r="G9" t="s">
        <v>25</v>
      </c>
      <c r="H9" t="s">
        <v>32</v>
      </c>
      <c r="I9" t="s">
        <v>15</v>
      </c>
      <c r="J9" t="s">
        <v>20</v>
      </c>
      <c r="K9">
        <v>51621</v>
      </c>
      <c r="L9">
        <v>3</v>
      </c>
      <c r="M9" s="1">
        <v>45293</v>
      </c>
    </row>
    <row r="10" spans="1:13" x14ac:dyDescent="0.35">
      <c r="A10" t="s">
        <v>43</v>
      </c>
      <c r="B10" t="s">
        <v>44</v>
      </c>
      <c r="C10" t="s">
        <v>45</v>
      </c>
      <c r="D10">
        <v>12</v>
      </c>
      <c r="E10">
        <v>12</v>
      </c>
      <c r="F10">
        <v>0</v>
      </c>
      <c r="G10" t="s">
        <v>25</v>
      </c>
      <c r="H10" t="s">
        <v>99</v>
      </c>
      <c r="I10" t="s">
        <v>105</v>
      </c>
      <c r="J10" t="s">
        <v>26</v>
      </c>
      <c r="L10">
        <v>3</v>
      </c>
      <c r="M10" s="1">
        <v>45353</v>
      </c>
    </row>
    <row r="11" spans="1:13" x14ac:dyDescent="0.35">
      <c r="A11" t="s">
        <v>35</v>
      </c>
      <c r="B11" t="s">
        <v>36</v>
      </c>
      <c r="C11" t="s">
        <v>172</v>
      </c>
      <c r="D11">
        <v>31</v>
      </c>
      <c r="E11">
        <v>31</v>
      </c>
      <c r="F11">
        <v>0</v>
      </c>
      <c r="G11" t="s">
        <v>25</v>
      </c>
      <c r="H11" t="s">
        <v>19</v>
      </c>
      <c r="I11" t="s">
        <v>105</v>
      </c>
      <c r="J11" t="s">
        <v>37</v>
      </c>
      <c r="K11">
        <v>73335</v>
      </c>
      <c r="L11">
        <v>8</v>
      </c>
      <c r="M11" s="1">
        <v>45406</v>
      </c>
    </row>
    <row r="12" spans="1:13" x14ac:dyDescent="0.35">
      <c r="A12" t="s">
        <v>38</v>
      </c>
      <c r="B12" t="s">
        <v>39</v>
      </c>
      <c r="C12" t="s">
        <v>119</v>
      </c>
      <c r="D12">
        <v>31</v>
      </c>
      <c r="E12">
        <v>31</v>
      </c>
      <c r="F12">
        <v>0</v>
      </c>
      <c r="G12" t="s">
        <v>14</v>
      </c>
      <c r="H12" t="s">
        <v>58</v>
      </c>
      <c r="I12" t="s">
        <v>88</v>
      </c>
      <c r="J12" t="s">
        <v>40</v>
      </c>
      <c r="L12">
        <v>6</v>
      </c>
      <c r="M12" s="1">
        <v>45370</v>
      </c>
    </row>
    <row r="13" spans="1:13" x14ac:dyDescent="0.35">
      <c r="A13" t="s">
        <v>46</v>
      </c>
      <c r="B13" t="s">
        <v>47</v>
      </c>
      <c r="C13" t="s">
        <v>119</v>
      </c>
      <c r="D13">
        <v>34</v>
      </c>
      <c r="E13">
        <v>34</v>
      </c>
      <c r="F13">
        <v>0</v>
      </c>
      <c r="G13" t="s">
        <v>14</v>
      </c>
      <c r="H13" t="s">
        <v>19</v>
      </c>
      <c r="I13" t="s">
        <v>2153</v>
      </c>
      <c r="J13" t="s">
        <v>40</v>
      </c>
      <c r="L13">
        <v>4</v>
      </c>
      <c r="M13" s="1">
        <v>45541</v>
      </c>
    </row>
    <row r="14" spans="1:13" x14ac:dyDescent="0.35">
      <c r="A14" t="s">
        <v>48</v>
      </c>
      <c r="B14" t="s">
        <v>49</v>
      </c>
      <c r="C14" t="s">
        <v>117</v>
      </c>
      <c r="D14">
        <v>49</v>
      </c>
      <c r="E14">
        <v>49</v>
      </c>
      <c r="F14">
        <v>0</v>
      </c>
      <c r="G14" t="s">
        <v>25</v>
      </c>
      <c r="H14" t="s">
        <v>19</v>
      </c>
      <c r="I14" t="s">
        <v>15</v>
      </c>
      <c r="J14" t="s">
        <v>26</v>
      </c>
      <c r="L14">
        <v>9</v>
      </c>
      <c r="M14" s="1">
        <v>45604</v>
      </c>
    </row>
    <row r="15" spans="1:13" x14ac:dyDescent="0.35">
      <c r="A15" t="s">
        <v>50</v>
      </c>
      <c r="B15" t="s">
        <v>51</v>
      </c>
      <c r="C15" t="s">
        <v>119</v>
      </c>
      <c r="D15">
        <v>34</v>
      </c>
      <c r="E15">
        <v>34</v>
      </c>
      <c r="F15">
        <v>0</v>
      </c>
      <c r="G15" t="s">
        <v>14</v>
      </c>
      <c r="H15" t="s">
        <v>19</v>
      </c>
      <c r="I15" t="s">
        <v>105</v>
      </c>
      <c r="J15" t="s">
        <v>26</v>
      </c>
      <c r="L15">
        <v>1</v>
      </c>
      <c r="M15" s="1">
        <v>45440</v>
      </c>
    </row>
    <row r="16" spans="1:13" x14ac:dyDescent="0.35">
      <c r="A16" t="s">
        <v>52</v>
      </c>
      <c r="B16" t="s">
        <v>53</v>
      </c>
      <c r="C16" t="s">
        <v>117</v>
      </c>
      <c r="D16">
        <v>37</v>
      </c>
      <c r="E16">
        <v>37</v>
      </c>
      <c r="F16">
        <v>0</v>
      </c>
      <c r="G16" t="s">
        <v>25</v>
      </c>
      <c r="H16" t="s">
        <v>32</v>
      </c>
      <c r="I16" t="s">
        <v>88</v>
      </c>
      <c r="J16" t="s">
        <v>26</v>
      </c>
      <c r="L16">
        <v>7</v>
      </c>
      <c r="M16" s="1">
        <v>45511</v>
      </c>
    </row>
    <row r="17" spans="1:13" x14ac:dyDescent="0.35">
      <c r="A17" t="s">
        <v>54</v>
      </c>
      <c r="B17" t="s">
        <v>55</v>
      </c>
      <c r="C17" t="s">
        <v>13</v>
      </c>
      <c r="D17">
        <v>6</v>
      </c>
      <c r="E17">
        <v>6</v>
      </c>
      <c r="F17">
        <v>0</v>
      </c>
      <c r="G17" t="s">
        <v>25</v>
      </c>
      <c r="H17" t="s">
        <v>99</v>
      </c>
      <c r="I17" t="s">
        <v>15</v>
      </c>
      <c r="J17" t="s">
        <v>26</v>
      </c>
      <c r="L17">
        <v>1</v>
      </c>
      <c r="M17" s="1">
        <v>45526</v>
      </c>
    </row>
    <row r="18" spans="1:13" x14ac:dyDescent="0.35">
      <c r="A18" t="s">
        <v>56</v>
      </c>
      <c r="B18" t="s">
        <v>57</v>
      </c>
      <c r="C18" t="s">
        <v>130</v>
      </c>
      <c r="D18">
        <v>35</v>
      </c>
      <c r="E18">
        <v>35</v>
      </c>
      <c r="F18">
        <v>0</v>
      </c>
      <c r="G18" t="s">
        <v>25</v>
      </c>
      <c r="H18" t="s">
        <v>58</v>
      </c>
      <c r="I18" t="s">
        <v>15</v>
      </c>
      <c r="J18" t="s">
        <v>40</v>
      </c>
      <c r="L18">
        <v>9</v>
      </c>
      <c r="M18" s="1">
        <v>45406</v>
      </c>
    </row>
    <row r="19" spans="1:13" x14ac:dyDescent="0.35">
      <c r="A19" t="s">
        <v>59</v>
      </c>
      <c r="B19" t="s">
        <v>60</v>
      </c>
      <c r="C19" t="s">
        <v>172</v>
      </c>
      <c r="D19">
        <v>54</v>
      </c>
      <c r="E19">
        <v>54</v>
      </c>
      <c r="F19">
        <v>0</v>
      </c>
      <c r="G19" t="s">
        <v>14</v>
      </c>
      <c r="H19" t="s">
        <v>19</v>
      </c>
      <c r="I19" t="s">
        <v>2154</v>
      </c>
      <c r="J19" t="s">
        <v>20</v>
      </c>
      <c r="K19">
        <v>46947</v>
      </c>
      <c r="L19">
        <v>2</v>
      </c>
      <c r="M19" s="1">
        <v>45312</v>
      </c>
    </row>
    <row r="20" spans="1:13" x14ac:dyDescent="0.35">
      <c r="A20" t="s">
        <v>61</v>
      </c>
      <c r="B20" t="s">
        <v>62</v>
      </c>
      <c r="C20" t="s">
        <v>130</v>
      </c>
      <c r="D20">
        <v>40</v>
      </c>
      <c r="E20">
        <v>40</v>
      </c>
      <c r="F20">
        <v>0</v>
      </c>
      <c r="G20" t="s">
        <v>14</v>
      </c>
      <c r="H20" t="s">
        <v>99</v>
      </c>
      <c r="I20" t="s">
        <v>15</v>
      </c>
      <c r="J20" t="s">
        <v>26</v>
      </c>
      <c r="L20">
        <v>3</v>
      </c>
      <c r="M20" s="1">
        <v>45495</v>
      </c>
    </row>
    <row r="21" spans="1:13" x14ac:dyDescent="0.35">
      <c r="A21" t="s">
        <v>63</v>
      </c>
      <c r="B21" t="s">
        <v>64</v>
      </c>
      <c r="C21" t="s">
        <v>117</v>
      </c>
      <c r="D21">
        <v>15</v>
      </c>
      <c r="E21">
        <v>15</v>
      </c>
      <c r="F21">
        <v>0</v>
      </c>
      <c r="G21" t="s">
        <v>25</v>
      </c>
      <c r="H21" t="s">
        <v>19</v>
      </c>
      <c r="I21" t="s">
        <v>2153</v>
      </c>
      <c r="J21" t="s">
        <v>16</v>
      </c>
      <c r="L21">
        <v>1</v>
      </c>
      <c r="M21" s="1">
        <v>45576</v>
      </c>
    </row>
    <row r="22" spans="1:13" x14ac:dyDescent="0.35">
      <c r="A22" t="s">
        <v>65</v>
      </c>
      <c r="B22" t="s">
        <v>66</v>
      </c>
      <c r="C22" t="s">
        <v>117</v>
      </c>
      <c r="D22">
        <v>27</v>
      </c>
      <c r="E22">
        <v>27</v>
      </c>
      <c r="F22">
        <v>0</v>
      </c>
      <c r="G22" t="s">
        <v>25</v>
      </c>
      <c r="H22" t="s">
        <v>19</v>
      </c>
      <c r="I22" t="s">
        <v>105</v>
      </c>
      <c r="J22" t="s">
        <v>37</v>
      </c>
      <c r="K22">
        <v>39909</v>
      </c>
      <c r="L22">
        <v>8</v>
      </c>
      <c r="M22" s="1">
        <v>45510</v>
      </c>
    </row>
    <row r="23" spans="1:13" x14ac:dyDescent="0.35">
      <c r="A23" t="s">
        <v>67</v>
      </c>
      <c r="B23" t="s">
        <v>68</v>
      </c>
      <c r="C23" t="s">
        <v>69</v>
      </c>
      <c r="D23">
        <v>31</v>
      </c>
      <c r="E23">
        <v>31</v>
      </c>
      <c r="F23">
        <v>0</v>
      </c>
      <c r="G23" t="s">
        <v>14</v>
      </c>
      <c r="H23" t="s">
        <v>99</v>
      </c>
      <c r="I23" t="s">
        <v>105</v>
      </c>
      <c r="J23" t="s">
        <v>37</v>
      </c>
      <c r="K23">
        <v>45347</v>
      </c>
      <c r="L23">
        <v>2</v>
      </c>
      <c r="M23" s="1">
        <v>45522</v>
      </c>
    </row>
    <row r="24" spans="1:13" x14ac:dyDescent="0.35">
      <c r="A24" t="s">
        <v>70</v>
      </c>
      <c r="B24" t="s">
        <v>588</v>
      </c>
      <c r="C24" t="s">
        <v>29</v>
      </c>
      <c r="D24">
        <v>28</v>
      </c>
      <c r="E24">
        <v>28</v>
      </c>
      <c r="F24">
        <v>0</v>
      </c>
      <c r="G24" t="s">
        <v>14</v>
      </c>
      <c r="H24" t="s">
        <v>19</v>
      </c>
      <c r="I24" t="s">
        <v>15</v>
      </c>
      <c r="J24" t="s">
        <v>37</v>
      </c>
      <c r="K24">
        <v>30000</v>
      </c>
      <c r="L24">
        <v>3</v>
      </c>
      <c r="M24" s="1">
        <v>45357</v>
      </c>
    </row>
    <row r="25" spans="1:13" x14ac:dyDescent="0.35">
      <c r="A25" t="s">
        <v>71</v>
      </c>
      <c r="B25" t="s">
        <v>723</v>
      </c>
      <c r="C25" t="s">
        <v>29</v>
      </c>
      <c r="D25">
        <v>32</v>
      </c>
      <c r="E25">
        <v>32</v>
      </c>
      <c r="F25">
        <v>0</v>
      </c>
      <c r="G25" t="s">
        <v>25</v>
      </c>
      <c r="H25" t="s">
        <v>32</v>
      </c>
      <c r="I25" t="s">
        <v>2153</v>
      </c>
      <c r="J25" t="s">
        <v>37</v>
      </c>
      <c r="K25">
        <v>30000</v>
      </c>
      <c r="L25">
        <v>3</v>
      </c>
      <c r="M25" s="1">
        <v>45487</v>
      </c>
    </row>
    <row r="26" spans="1:13" x14ac:dyDescent="0.35">
      <c r="A26" t="s">
        <v>72</v>
      </c>
      <c r="B26" t="s">
        <v>73</v>
      </c>
      <c r="C26" t="s">
        <v>117</v>
      </c>
      <c r="D26">
        <v>46</v>
      </c>
      <c r="E26">
        <v>46</v>
      </c>
      <c r="F26">
        <v>0</v>
      </c>
      <c r="G26" t="s">
        <v>25</v>
      </c>
      <c r="H26" t="s">
        <v>58</v>
      </c>
      <c r="I26" t="s">
        <v>15</v>
      </c>
      <c r="J26" t="s">
        <v>16</v>
      </c>
      <c r="L26">
        <v>5</v>
      </c>
      <c r="M26" s="1">
        <v>45422</v>
      </c>
    </row>
    <row r="27" spans="1:13" x14ac:dyDescent="0.35">
      <c r="A27" t="s">
        <v>74</v>
      </c>
      <c r="B27" t="s">
        <v>75</v>
      </c>
      <c r="C27" t="s">
        <v>117</v>
      </c>
      <c r="D27">
        <v>36</v>
      </c>
      <c r="E27">
        <v>36</v>
      </c>
      <c r="F27">
        <v>0</v>
      </c>
      <c r="G27" t="s">
        <v>25</v>
      </c>
      <c r="H27" t="s">
        <v>19</v>
      </c>
      <c r="I27" t="s">
        <v>15</v>
      </c>
      <c r="J27" t="s">
        <v>20</v>
      </c>
      <c r="K27">
        <v>61021</v>
      </c>
      <c r="L27">
        <v>5</v>
      </c>
      <c r="M27" s="1">
        <v>45562</v>
      </c>
    </row>
    <row r="28" spans="1:13" x14ac:dyDescent="0.35">
      <c r="A28" t="s">
        <v>76</v>
      </c>
      <c r="B28" t="s">
        <v>77</v>
      </c>
      <c r="C28" t="s">
        <v>154</v>
      </c>
      <c r="D28">
        <v>25</v>
      </c>
      <c r="E28">
        <v>25</v>
      </c>
      <c r="F28">
        <v>0</v>
      </c>
      <c r="G28" t="s">
        <v>14</v>
      </c>
      <c r="H28" t="s">
        <v>32</v>
      </c>
      <c r="I28" t="s">
        <v>15</v>
      </c>
      <c r="J28" t="s">
        <v>37</v>
      </c>
      <c r="K28">
        <v>30000</v>
      </c>
      <c r="L28">
        <v>6</v>
      </c>
      <c r="M28" s="1">
        <v>45518</v>
      </c>
    </row>
    <row r="29" spans="1:13" x14ac:dyDescent="0.35">
      <c r="A29" t="s">
        <v>78</v>
      </c>
      <c r="B29" t="s">
        <v>79</v>
      </c>
      <c r="C29" t="s">
        <v>119</v>
      </c>
      <c r="D29">
        <v>55</v>
      </c>
      <c r="E29">
        <v>55</v>
      </c>
      <c r="F29">
        <v>0</v>
      </c>
      <c r="G29" t="s">
        <v>25</v>
      </c>
      <c r="H29" t="s">
        <v>58</v>
      </c>
      <c r="I29" t="s">
        <v>105</v>
      </c>
      <c r="J29" t="s">
        <v>37</v>
      </c>
      <c r="K29">
        <v>30000</v>
      </c>
      <c r="L29">
        <v>2</v>
      </c>
      <c r="M29" s="1">
        <v>45354</v>
      </c>
    </row>
    <row r="30" spans="1:13" x14ac:dyDescent="0.35">
      <c r="A30" t="s">
        <v>80</v>
      </c>
      <c r="B30" t="s">
        <v>81</v>
      </c>
      <c r="C30" t="s">
        <v>154</v>
      </c>
      <c r="D30">
        <v>63</v>
      </c>
      <c r="E30">
        <v>63</v>
      </c>
      <c r="F30">
        <v>0</v>
      </c>
      <c r="G30" t="s">
        <v>14</v>
      </c>
      <c r="H30" t="s">
        <v>99</v>
      </c>
      <c r="I30" t="s">
        <v>2153</v>
      </c>
      <c r="J30" t="s">
        <v>26</v>
      </c>
      <c r="L30">
        <v>5</v>
      </c>
      <c r="M30" s="1">
        <v>45579</v>
      </c>
    </row>
    <row r="31" spans="1:13" x14ac:dyDescent="0.35">
      <c r="A31" t="s">
        <v>82</v>
      </c>
      <c r="B31" t="s">
        <v>83</v>
      </c>
      <c r="C31" t="s">
        <v>13</v>
      </c>
      <c r="D31">
        <v>58</v>
      </c>
      <c r="E31">
        <v>58</v>
      </c>
      <c r="F31">
        <v>0</v>
      </c>
      <c r="G31" t="s">
        <v>25</v>
      </c>
      <c r="H31" t="s">
        <v>99</v>
      </c>
      <c r="I31" t="s">
        <v>15</v>
      </c>
      <c r="J31" t="s">
        <v>16</v>
      </c>
      <c r="L31">
        <v>3</v>
      </c>
      <c r="M31" s="1">
        <v>45523</v>
      </c>
    </row>
    <row r="32" spans="1:13" x14ac:dyDescent="0.35">
      <c r="A32" t="s">
        <v>84</v>
      </c>
      <c r="B32" t="s">
        <v>85</v>
      </c>
      <c r="C32" t="s">
        <v>69</v>
      </c>
      <c r="D32">
        <v>21</v>
      </c>
      <c r="E32">
        <v>21</v>
      </c>
      <c r="F32">
        <v>0</v>
      </c>
      <c r="G32" t="s">
        <v>14</v>
      </c>
      <c r="H32" t="s">
        <v>32</v>
      </c>
      <c r="I32" t="s">
        <v>88</v>
      </c>
      <c r="J32" t="s">
        <v>16</v>
      </c>
      <c r="L32">
        <v>1</v>
      </c>
      <c r="M32" s="1">
        <v>45342</v>
      </c>
    </row>
    <row r="33" spans="1:13" x14ac:dyDescent="0.35">
      <c r="A33" t="s">
        <v>86</v>
      </c>
      <c r="B33" t="s">
        <v>87</v>
      </c>
      <c r="C33" t="s">
        <v>154</v>
      </c>
      <c r="D33">
        <v>37</v>
      </c>
      <c r="E33">
        <v>37</v>
      </c>
      <c r="F33">
        <v>0</v>
      </c>
      <c r="G33" t="s">
        <v>25</v>
      </c>
      <c r="H33" t="s">
        <v>19</v>
      </c>
      <c r="I33" t="s">
        <v>88</v>
      </c>
      <c r="J33" t="s">
        <v>40</v>
      </c>
      <c r="L33">
        <v>6</v>
      </c>
      <c r="M33" s="1">
        <v>45493</v>
      </c>
    </row>
    <row r="34" spans="1:13" x14ac:dyDescent="0.35">
      <c r="A34" t="s">
        <v>89</v>
      </c>
      <c r="B34" t="s">
        <v>90</v>
      </c>
      <c r="C34" t="s">
        <v>69</v>
      </c>
      <c r="D34">
        <v>38</v>
      </c>
      <c r="E34">
        <v>38</v>
      </c>
      <c r="F34">
        <v>0</v>
      </c>
      <c r="G34" t="s">
        <v>25</v>
      </c>
      <c r="H34" t="s">
        <v>32</v>
      </c>
      <c r="I34" t="s">
        <v>88</v>
      </c>
      <c r="J34" t="s">
        <v>16</v>
      </c>
      <c r="L34">
        <v>2</v>
      </c>
      <c r="M34" s="1">
        <v>45295</v>
      </c>
    </row>
    <row r="35" spans="1:13" x14ac:dyDescent="0.35">
      <c r="A35" t="s">
        <v>91</v>
      </c>
      <c r="B35" t="s">
        <v>92</v>
      </c>
      <c r="C35" t="s">
        <v>172</v>
      </c>
      <c r="D35">
        <v>35</v>
      </c>
      <c r="E35">
        <v>35</v>
      </c>
      <c r="F35">
        <v>0</v>
      </c>
      <c r="G35" t="s">
        <v>14</v>
      </c>
      <c r="H35" t="s">
        <v>32</v>
      </c>
      <c r="I35" t="s">
        <v>15</v>
      </c>
      <c r="J35" t="s">
        <v>16</v>
      </c>
      <c r="L35">
        <v>9</v>
      </c>
      <c r="M35" s="1">
        <v>45498</v>
      </c>
    </row>
    <row r="36" spans="1:13" x14ac:dyDescent="0.35">
      <c r="A36" t="s">
        <v>93</v>
      </c>
      <c r="B36" t="s">
        <v>94</v>
      </c>
      <c r="C36" t="s">
        <v>13</v>
      </c>
      <c r="D36">
        <v>27</v>
      </c>
      <c r="E36">
        <v>27</v>
      </c>
      <c r="F36">
        <v>0</v>
      </c>
      <c r="G36" t="s">
        <v>25</v>
      </c>
      <c r="H36" t="s">
        <v>58</v>
      </c>
      <c r="I36" t="s">
        <v>105</v>
      </c>
      <c r="J36" t="s">
        <v>16</v>
      </c>
      <c r="L36">
        <v>9</v>
      </c>
      <c r="M36" s="1">
        <v>45534</v>
      </c>
    </row>
    <row r="37" spans="1:13" x14ac:dyDescent="0.35">
      <c r="A37" t="s">
        <v>95</v>
      </c>
      <c r="B37" t="s">
        <v>96</v>
      </c>
      <c r="C37" t="s">
        <v>119</v>
      </c>
      <c r="D37">
        <v>29</v>
      </c>
      <c r="E37">
        <v>29</v>
      </c>
      <c r="F37">
        <v>0</v>
      </c>
      <c r="G37" t="s">
        <v>14</v>
      </c>
      <c r="H37" t="s">
        <v>58</v>
      </c>
      <c r="I37" t="s">
        <v>88</v>
      </c>
      <c r="J37" t="s">
        <v>20</v>
      </c>
      <c r="K37">
        <v>38744</v>
      </c>
      <c r="L37">
        <v>7</v>
      </c>
      <c r="M37" s="1">
        <v>45480</v>
      </c>
    </row>
    <row r="38" spans="1:13" x14ac:dyDescent="0.35">
      <c r="A38" t="s">
        <v>97</v>
      </c>
      <c r="B38" t="s">
        <v>98</v>
      </c>
      <c r="C38" t="s">
        <v>172</v>
      </c>
      <c r="D38">
        <v>27</v>
      </c>
      <c r="E38">
        <v>27</v>
      </c>
      <c r="F38">
        <v>0</v>
      </c>
      <c r="G38" t="s">
        <v>14</v>
      </c>
      <c r="H38" t="s">
        <v>99</v>
      </c>
      <c r="I38" t="s">
        <v>105</v>
      </c>
      <c r="J38" t="s">
        <v>37</v>
      </c>
      <c r="K38">
        <v>30000</v>
      </c>
      <c r="L38">
        <v>9</v>
      </c>
      <c r="M38" s="1">
        <v>45502</v>
      </c>
    </row>
    <row r="39" spans="1:13" x14ac:dyDescent="0.35">
      <c r="A39" t="s">
        <v>100</v>
      </c>
      <c r="B39" t="s">
        <v>101</v>
      </c>
      <c r="C39" t="s">
        <v>119</v>
      </c>
      <c r="D39">
        <v>52</v>
      </c>
      <c r="E39">
        <v>52</v>
      </c>
      <c r="F39">
        <v>0</v>
      </c>
      <c r="G39" t="s">
        <v>25</v>
      </c>
      <c r="H39" t="s">
        <v>99</v>
      </c>
      <c r="I39" t="s">
        <v>15</v>
      </c>
      <c r="J39" t="s">
        <v>26</v>
      </c>
      <c r="L39">
        <v>6</v>
      </c>
      <c r="M39" s="1">
        <v>45576</v>
      </c>
    </row>
    <row r="40" spans="1:13" x14ac:dyDescent="0.35">
      <c r="A40" t="s">
        <v>102</v>
      </c>
      <c r="B40" t="s">
        <v>60</v>
      </c>
      <c r="C40" t="s">
        <v>69</v>
      </c>
      <c r="D40">
        <v>36</v>
      </c>
      <c r="E40">
        <v>36</v>
      </c>
      <c r="F40">
        <v>0</v>
      </c>
      <c r="G40" t="s">
        <v>14</v>
      </c>
      <c r="H40" t="s">
        <v>32</v>
      </c>
      <c r="I40" t="s">
        <v>15</v>
      </c>
      <c r="J40" t="s">
        <v>16</v>
      </c>
      <c r="L40">
        <v>6</v>
      </c>
      <c r="M40" s="1">
        <v>45415</v>
      </c>
    </row>
    <row r="41" spans="1:13" x14ac:dyDescent="0.35">
      <c r="A41" t="s">
        <v>103</v>
      </c>
      <c r="B41" t="s">
        <v>104</v>
      </c>
      <c r="C41" t="s">
        <v>172</v>
      </c>
      <c r="D41">
        <v>37</v>
      </c>
      <c r="E41">
        <v>37</v>
      </c>
      <c r="F41">
        <v>0</v>
      </c>
      <c r="G41" t="s">
        <v>25</v>
      </c>
      <c r="H41" t="s">
        <v>32</v>
      </c>
      <c r="I41" t="s">
        <v>105</v>
      </c>
      <c r="J41" t="s">
        <v>26</v>
      </c>
      <c r="L41">
        <v>6</v>
      </c>
      <c r="M41" s="1">
        <v>45313</v>
      </c>
    </row>
    <row r="42" spans="1:13" x14ac:dyDescent="0.35">
      <c r="A42" t="s">
        <v>106</v>
      </c>
      <c r="B42" t="s">
        <v>107</v>
      </c>
      <c r="C42" t="s">
        <v>29</v>
      </c>
      <c r="D42">
        <v>36</v>
      </c>
      <c r="E42">
        <v>36</v>
      </c>
      <c r="F42">
        <v>0</v>
      </c>
      <c r="G42" t="s">
        <v>14</v>
      </c>
      <c r="H42" t="s">
        <v>58</v>
      </c>
      <c r="I42" t="s">
        <v>88</v>
      </c>
      <c r="J42" t="s">
        <v>26</v>
      </c>
      <c r="L42">
        <v>7</v>
      </c>
      <c r="M42" s="1">
        <v>45359</v>
      </c>
    </row>
    <row r="43" spans="1:13" x14ac:dyDescent="0.35">
      <c r="A43" t="s">
        <v>108</v>
      </c>
      <c r="B43" t="s">
        <v>263</v>
      </c>
      <c r="C43" t="s">
        <v>172</v>
      </c>
      <c r="D43">
        <v>15</v>
      </c>
      <c r="E43">
        <v>15</v>
      </c>
      <c r="F43">
        <v>0</v>
      </c>
      <c r="G43" t="s">
        <v>14</v>
      </c>
      <c r="H43" t="s">
        <v>99</v>
      </c>
      <c r="I43" t="s">
        <v>15</v>
      </c>
      <c r="J43" t="s">
        <v>20</v>
      </c>
      <c r="K43">
        <v>30000</v>
      </c>
      <c r="L43">
        <v>7</v>
      </c>
      <c r="M43" s="1">
        <v>45402</v>
      </c>
    </row>
    <row r="44" spans="1:13" x14ac:dyDescent="0.35">
      <c r="A44" t="s">
        <v>109</v>
      </c>
      <c r="B44" t="s">
        <v>110</v>
      </c>
      <c r="C44" t="s">
        <v>154</v>
      </c>
      <c r="D44">
        <v>51</v>
      </c>
      <c r="E44">
        <v>51</v>
      </c>
      <c r="F44">
        <v>0</v>
      </c>
      <c r="G44" t="s">
        <v>14</v>
      </c>
      <c r="H44" t="s">
        <v>32</v>
      </c>
      <c r="I44" t="s">
        <v>105</v>
      </c>
      <c r="J44" t="s">
        <v>16</v>
      </c>
      <c r="L44">
        <v>7</v>
      </c>
      <c r="M44" s="1">
        <v>45432</v>
      </c>
    </row>
    <row r="45" spans="1:13" x14ac:dyDescent="0.35">
      <c r="A45" t="s">
        <v>111</v>
      </c>
      <c r="B45" t="s">
        <v>112</v>
      </c>
      <c r="C45" t="s">
        <v>45</v>
      </c>
      <c r="D45">
        <v>10</v>
      </c>
      <c r="E45">
        <v>10</v>
      </c>
      <c r="F45">
        <v>0</v>
      </c>
      <c r="G45" t="s">
        <v>25</v>
      </c>
      <c r="H45" t="s">
        <v>99</v>
      </c>
      <c r="I45" t="s">
        <v>105</v>
      </c>
      <c r="J45" t="s">
        <v>26</v>
      </c>
      <c r="L45">
        <v>5</v>
      </c>
      <c r="M45" s="1">
        <v>45412</v>
      </c>
    </row>
    <row r="46" spans="1:13" x14ac:dyDescent="0.35">
      <c r="A46" t="s">
        <v>113</v>
      </c>
      <c r="B46" t="s">
        <v>114</v>
      </c>
      <c r="C46" t="s">
        <v>154</v>
      </c>
      <c r="D46">
        <v>25</v>
      </c>
      <c r="E46">
        <v>25</v>
      </c>
      <c r="F46">
        <v>0</v>
      </c>
      <c r="G46" t="s">
        <v>14</v>
      </c>
      <c r="H46" t="s">
        <v>99</v>
      </c>
      <c r="I46" t="s">
        <v>15</v>
      </c>
      <c r="J46" t="s">
        <v>37</v>
      </c>
      <c r="K46">
        <v>48066</v>
      </c>
      <c r="L46">
        <v>2</v>
      </c>
      <c r="M46" s="1">
        <v>45390</v>
      </c>
    </row>
    <row r="47" spans="1:13" x14ac:dyDescent="0.35">
      <c r="A47" t="s">
        <v>115</v>
      </c>
      <c r="B47" t="s">
        <v>116</v>
      </c>
      <c r="C47" t="s">
        <v>117</v>
      </c>
      <c r="D47">
        <v>41</v>
      </c>
      <c r="E47">
        <v>41</v>
      </c>
      <c r="F47">
        <v>0</v>
      </c>
      <c r="G47" t="s">
        <v>14</v>
      </c>
      <c r="H47" t="s">
        <v>32</v>
      </c>
      <c r="I47" t="s">
        <v>2154</v>
      </c>
      <c r="J47" t="s">
        <v>16</v>
      </c>
      <c r="L47">
        <v>4</v>
      </c>
      <c r="M47" s="1">
        <v>45348</v>
      </c>
    </row>
    <row r="48" spans="1:13" x14ac:dyDescent="0.35">
      <c r="A48" t="s">
        <v>118</v>
      </c>
      <c r="B48" t="s">
        <v>1944</v>
      </c>
      <c r="C48" t="s">
        <v>119</v>
      </c>
      <c r="D48">
        <v>57</v>
      </c>
      <c r="E48">
        <v>57</v>
      </c>
      <c r="F48">
        <v>0</v>
      </c>
      <c r="G48" t="s">
        <v>25</v>
      </c>
      <c r="H48" t="s">
        <v>32</v>
      </c>
      <c r="I48" t="s">
        <v>15</v>
      </c>
      <c r="J48" t="s">
        <v>16</v>
      </c>
      <c r="L48">
        <v>8</v>
      </c>
      <c r="M48" s="1">
        <v>45432</v>
      </c>
    </row>
    <row r="49" spans="1:13" x14ac:dyDescent="0.35">
      <c r="A49" t="s">
        <v>120</v>
      </c>
      <c r="B49" t="s">
        <v>121</v>
      </c>
      <c r="C49" t="s">
        <v>45</v>
      </c>
      <c r="D49">
        <v>56</v>
      </c>
      <c r="E49">
        <v>56</v>
      </c>
      <c r="F49">
        <v>0</v>
      </c>
      <c r="G49" t="s">
        <v>25</v>
      </c>
      <c r="H49" t="s">
        <v>32</v>
      </c>
      <c r="I49" t="s">
        <v>88</v>
      </c>
      <c r="J49" t="s">
        <v>16</v>
      </c>
      <c r="L49">
        <v>7</v>
      </c>
      <c r="M49" s="1">
        <v>45497</v>
      </c>
    </row>
    <row r="50" spans="1:13" x14ac:dyDescent="0.35">
      <c r="A50" t="s">
        <v>122</v>
      </c>
      <c r="B50" t="s">
        <v>123</v>
      </c>
      <c r="C50" t="s">
        <v>184</v>
      </c>
      <c r="D50">
        <v>33</v>
      </c>
      <c r="E50">
        <v>33</v>
      </c>
      <c r="F50">
        <v>0</v>
      </c>
      <c r="G50" t="s">
        <v>14</v>
      </c>
      <c r="H50" t="s">
        <v>32</v>
      </c>
      <c r="I50" t="s">
        <v>88</v>
      </c>
      <c r="J50" t="s">
        <v>16</v>
      </c>
      <c r="L50">
        <v>6</v>
      </c>
      <c r="M50" s="1">
        <v>45631</v>
      </c>
    </row>
    <row r="51" spans="1:13" x14ac:dyDescent="0.35">
      <c r="A51" t="s">
        <v>124</v>
      </c>
      <c r="B51" t="s">
        <v>125</v>
      </c>
      <c r="C51" t="s">
        <v>130</v>
      </c>
      <c r="D51">
        <v>33</v>
      </c>
      <c r="E51">
        <v>33</v>
      </c>
      <c r="F51">
        <v>0</v>
      </c>
      <c r="G51" t="s">
        <v>25</v>
      </c>
      <c r="H51" t="s">
        <v>58</v>
      </c>
      <c r="I51" t="s">
        <v>15</v>
      </c>
      <c r="J51" t="s">
        <v>26</v>
      </c>
      <c r="L51">
        <v>7</v>
      </c>
      <c r="M51" s="1">
        <v>45561</v>
      </c>
    </row>
    <row r="52" spans="1:13" x14ac:dyDescent="0.35">
      <c r="A52" t="s">
        <v>126</v>
      </c>
      <c r="B52" t="s">
        <v>127</v>
      </c>
      <c r="C52" t="s">
        <v>29</v>
      </c>
      <c r="D52">
        <v>26</v>
      </c>
      <c r="E52">
        <v>26</v>
      </c>
      <c r="F52">
        <v>0</v>
      </c>
      <c r="G52" t="s">
        <v>25</v>
      </c>
      <c r="H52" t="s">
        <v>58</v>
      </c>
      <c r="I52" t="s">
        <v>2154</v>
      </c>
      <c r="J52" t="s">
        <v>16</v>
      </c>
      <c r="L52">
        <v>3</v>
      </c>
      <c r="M52" s="1">
        <v>45585</v>
      </c>
    </row>
    <row r="53" spans="1:13" x14ac:dyDescent="0.35">
      <c r="A53" t="s">
        <v>128</v>
      </c>
      <c r="B53" t="s">
        <v>129</v>
      </c>
      <c r="C53" t="s">
        <v>130</v>
      </c>
      <c r="D53">
        <v>24</v>
      </c>
      <c r="E53">
        <v>24</v>
      </c>
      <c r="F53">
        <v>0</v>
      </c>
      <c r="G53" t="s">
        <v>14</v>
      </c>
      <c r="H53" t="s">
        <v>58</v>
      </c>
      <c r="I53" t="s">
        <v>105</v>
      </c>
      <c r="J53" t="s">
        <v>20</v>
      </c>
      <c r="K53">
        <v>30000</v>
      </c>
      <c r="L53">
        <v>4</v>
      </c>
      <c r="M53" s="1">
        <v>45636</v>
      </c>
    </row>
    <row r="54" spans="1:13" x14ac:dyDescent="0.35">
      <c r="A54" t="s">
        <v>131</v>
      </c>
      <c r="B54" t="s">
        <v>132</v>
      </c>
      <c r="C54" t="s">
        <v>184</v>
      </c>
      <c r="D54">
        <v>20</v>
      </c>
      <c r="E54">
        <v>20</v>
      </c>
      <c r="F54">
        <v>0</v>
      </c>
      <c r="G54" t="s">
        <v>14</v>
      </c>
      <c r="H54" t="s">
        <v>99</v>
      </c>
      <c r="I54" t="s">
        <v>105</v>
      </c>
      <c r="J54" t="s">
        <v>16</v>
      </c>
      <c r="L54">
        <v>1</v>
      </c>
      <c r="M54" s="1">
        <v>45456</v>
      </c>
    </row>
    <row r="55" spans="1:13" x14ac:dyDescent="0.35">
      <c r="A55" t="s">
        <v>133</v>
      </c>
      <c r="B55" t="s">
        <v>134</v>
      </c>
      <c r="C55" t="s">
        <v>69</v>
      </c>
      <c r="D55">
        <v>37</v>
      </c>
      <c r="E55">
        <v>37</v>
      </c>
      <c r="F55">
        <v>0</v>
      </c>
      <c r="G55" t="s">
        <v>14</v>
      </c>
      <c r="H55" t="s">
        <v>99</v>
      </c>
      <c r="I55" t="s">
        <v>88</v>
      </c>
      <c r="J55" t="s">
        <v>37</v>
      </c>
      <c r="K55">
        <v>50379</v>
      </c>
      <c r="L55">
        <v>8</v>
      </c>
      <c r="M55" s="1">
        <v>45308</v>
      </c>
    </row>
    <row r="56" spans="1:13" x14ac:dyDescent="0.35">
      <c r="A56" t="s">
        <v>135</v>
      </c>
      <c r="B56" t="s">
        <v>136</v>
      </c>
      <c r="C56" t="s">
        <v>29</v>
      </c>
      <c r="D56">
        <v>23</v>
      </c>
      <c r="E56">
        <v>23</v>
      </c>
      <c r="F56">
        <v>0</v>
      </c>
      <c r="G56" t="s">
        <v>14</v>
      </c>
      <c r="H56" t="s">
        <v>99</v>
      </c>
      <c r="I56" t="s">
        <v>15</v>
      </c>
      <c r="J56" t="s">
        <v>37</v>
      </c>
      <c r="K56">
        <v>83864</v>
      </c>
      <c r="L56">
        <v>5</v>
      </c>
      <c r="M56" s="1">
        <v>45486</v>
      </c>
    </row>
    <row r="57" spans="1:13" x14ac:dyDescent="0.35">
      <c r="A57" t="s">
        <v>137</v>
      </c>
      <c r="B57" t="s">
        <v>138</v>
      </c>
      <c r="C57" t="s">
        <v>172</v>
      </c>
      <c r="D57">
        <v>51</v>
      </c>
      <c r="E57">
        <v>51</v>
      </c>
      <c r="F57">
        <v>0</v>
      </c>
      <c r="G57" t="s">
        <v>14</v>
      </c>
      <c r="H57" t="s">
        <v>19</v>
      </c>
      <c r="I57" t="s">
        <v>88</v>
      </c>
      <c r="J57" t="s">
        <v>16</v>
      </c>
      <c r="L57">
        <v>2</v>
      </c>
      <c r="M57" s="1">
        <v>45360</v>
      </c>
    </row>
    <row r="58" spans="1:13" x14ac:dyDescent="0.35">
      <c r="A58" t="s">
        <v>139</v>
      </c>
      <c r="B58" t="s">
        <v>922</v>
      </c>
      <c r="C58" t="s">
        <v>45</v>
      </c>
      <c r="D58">
        <v>35</v>
      </c>
      <c r="E58">
        <v>35</v>
      </c>
      <c r="F58">
        <v>0</v>
      </c>
      <c r="G58" t="s">
        <v>25</v>
      </c>
      <c r="H58" t="s">
        <v>32</v>
      </c>
      <c r="I58" t="s">
        <v>88</v>
      </c>
      <c r="J58" t="s">
        <v>40</v>
      </c>
      <c r="L58">
        <v>4</v>
      </c>
      <c r="M58" s="1">
        <v>45501</v>
      </c>
    </row>
    <row r="59" spans="1:13" x14ac:dyDescent="0.35">
      <c r="A59" t="s">
        <v>140</v>
      </c>
      <c r="B59" t="s">
        <v>141</v>
      </c>
      <c r="C59" t="s">
        <v>13</v>
      </c>
      <c r="D59">
        <v>29</v>
      </c>
      <c r="E59">
        <v>29</v>
      </c>
      <c r="F59">
        <v>0</v>
      </c>
      <c r="G59" t="s">
        <v>14</v>
      </c>
      <c r="H59" t="s">
        <v>19</v>
      </c>
      <c r="I59" t="s">
        <v>88</v>
      </c>
      <c r="J59" t="s">
        <v>40</v>
      </c>
      <c r="L59">
        <v>2</v>
      </c>
      <c r="M59" s="1">
        <v>45467</v>
      </c>
    </row>
    <row r="60" spans="1:13" x14ac:dyDescent="0.35">
      <c r="A60" t="s">
        <v>142</v>
      </c>
      <c r="B60" t="s">
        <v>143</v>
      </c>
      <c r="C60" t="s">
        <v>172</v>
      </c>
      <c r="D60">
        <v>45</v>
      </c>
      <c r="E60">
        <v>45</v>
      </c>
      <c r="F60">
        <v>0</v>
      </c>
      <c r="G60" t="s">
        <v>14</v>
      </c>
      <c r="H60" t="s">
        <v>58</v>
      </c>
      <c r="I60" t="s">
        <v>88</v>
      </c>
      <c r="J60" t="s">
        <v>20</v>
      </c>
      <c r="K60">
        <v>30000</v>
      </c>
      <c r="L60">
        <v>7</v>
      </c>
      <c r="M60" s="1">
        <v>45377</v>
      </c>
    </row>
    <row r="61" spans="1:13" x14ac:dyDescent="0.35">
      <c r="A61" t="s">
        <v>144</v>
      </c>
      <c r="B61" t="s">
        <v>145</v>
      </c>
      <c r="C61" t="s">
        <v>69</v>
      </c>
      <c r="D61">
        <v>12</v>
      </c>
      <c r="E61">
        <v>12</v>
      </c>
      <c r="F61">
        <v>0</v>
      </c>
      <c r="G61" t="s">
        <v>25</v>
      </c>
      <c r="H61" t="s">
        <v>99</v>
      </c>
      <c r="I61" t="s">
        <v>88</v>
      </c>
      <c r="J61" t="s">
        <v>26</v>
      </c>
      <c r="L61">
        <v>4</v>
      </c>
      <c r="M61" s="1">
        <v>45327</v>
      </c>
    </row>
    <row r="62" spans="1:13" x14ac:dyDescent="0.35">
      <c r="A62" t="s">
        <v>146</v>
      </c>
      <c r="B62" t="s">
        <v>147</v>
      </c>
      <c r="C62" t="s">
        <v>13</v>
      </c>
      <c r="D62">
        <v>44</v>
      </c>
      <c r="E62">
        <v>44</v>
      </c>
      <c r="F62">
        <v>0</v>
      </c>
      <c r="G62" t="s">
        <v>14</v>
      </c>
      <c r="H62" t="s">
        <v>99</v>
      </c>
      <c r="I62" t="s">
        <v>15</v>
      </c>
      <c r="J62" t="s">
        <v>16</v>
      </c>
      <c r="L62">
        <v>1</v>
      </c>
      <c r="M62" s="1">
        <v>45374</v>
      </c>
    </row>
    <row r="63" spans="1:13" x14ac:dyDescent="0.35">
      <c r="A63" t="s">
        <v>148</v>
      </c>
      <c r="B63" t="s">
        <v>149</v>
      </c>
      <c r="C63" t="s">
        <v>172</v>
      </c>
      <c r="D63">
        <v>38</v>
      </c>
      <c r="E63">
        <v>38</v>
      </c>
      <c r="F63">
        <v>0</v>
      </c>
      <c r="G63" t="s">
        <v>14</v>
      </c>
      <c r="H63" t="s">
        <v>32</v>
      </c>
      <c r="I63" t="s">
        <v>15</v>
      </c>
      <c r="J63" t="s">
        <v>26</v>
      </c>
      <c r="L63">
        <v>9</v>
      </c>
      <c r="M63" s="1">
        <v>45364</v>
      </c>
    </row>
    <row r="64" spans="1:13" x14ac:dyDescent="0.35">
      <c r="A64" t="s">
        <v>150</v>
      </c>
      <c r="B64" t="s">
        <v>151</v>
      </c>
      <c r="C64" t="s">
        <v>45</v>
      </c>
      <c r="D64">
        <v>39</v>
      </c>
      <c r="E64">
        <v>39</v>
      </c>
      <c r="F64">
        <v>0</v>
      </c>
      <c r="G64" t="s">
        <v>25</v>
      </c>
      <c r="H64" t="s">
        <v>19</v>
      </c>
      <c r="I64" t="s">
        <v>88</v>
      </c>
      <c r="J64" t="s">
        <v>16</v>
      </c>
      <c r="L64">
        <v>2</v>
      </c>
      <c r="M64" s="1">
        <v>45456</v>
      </c>
    </row>
    <row r="65" spans="1:13" x14ac:dyDescent="0.35">
      <c r="A65" t="s">
        <v>152</v>
      </c>
      <c r="B65" t="s">
        <v>153</v>
      </c>
      <c r="C65" t="s">
        <v>154</v>
      </c>
      <c r="D65">
        <v>41</v>
      </c>
      <c r="E65">
        <v>41</v>
      </c>
      <c r="F65">
        <v>0</v>
      </c>
      <c r="G65" t="s">
        <v>25</v>
      </c>
      <c r="H65" t="s">
        <v>99</v>
      </c>
      <c r="I65" t="s">
        <v>105</v>
      </c>
      <c r="J65" t="s">
        <v>37</v>
      </c>
      <c r="K65">
        <v>116417</v>
      </c>
      <c r="L65">
        <v>3</v>
      </c>
      <c r="M65" s="1">
        <v>45330</v>
      </c>
    </row>
    <row r="66" spans="1:13" x14ac:dyDescent="0.35">
      <c r="A66" t="s">
        <v>155</v>
      </c>
      <c r="B66" t="s">
        <v>156</v>
      </c>
      <c r="C66" t="s">
        <v>154</v>
      </c>
      <c r="D66">
        <v>45</v>
      </c>
      <c r="E66">
        <v>45</v>
      </c>
      <c r="F66">
        <v>0</v>
      </c>
      <c r="G66" t="s">
        <v>25</v>
      </c>
      <c r="H66" t="s">
        <v>99</v>
      </c>
      <c r="I66" t="s">
        <v>2153</v>
      </c>
      <c r="J66" t="s">
        <v>16</v>
      </c>
      <c r="L66">
        <v>6</v>
      </c>
      <c r="M66" s="1">
        <v>45331</v>
      </c>
    </row>
    <row r="67" spans="1:13" x14ac:dyDescent="0.35">
      <c r="A67" t="s">
        <v>157</v>
      </c>
      <c r="B67" t="s">
        <v>158</v>
      </c>
      <c r="C67" t="s">
        <v>13</v>
      </c>
      <c r="D67">
        <v>32</v>
      </c>
      <c r="E67">
        <v>32</v>
      </c>
      <c r="F67">
        <v>0</v>
      </c>
      <c r="G67" t="s">
        <v>14</v>
      </c>
      <c r="H67" t="s">
        <v>99</v>
      </c>
      <c r="I67" t="s">
        <v>105</v>
      </c>
      <c r="J67" t="s">
        <v>40</v>
      </c>
      <c r="L67">
        <v>4</v>
      </c>
      <c r="M67" s="1">
        <v>45346</v>
      </c>
    </row>
    <row r="68" spans="1:13" x14ac:dyDescent="0.35">
      <c r="A68" t="s">
        <v>159</v>
      </c>
      <c r="B68" t="s">
        <v>160</v>
      </c>
      <c r="C68" t="s">
        <v>154</v>
      </c>
      <c r="D68">
        <v>30</v>
      </c>
      <c r="E68">
        <v>30</v>
      </c>
      <c r="F68">
        <v>0</v>
      </c>
      <c r="G68" t="s">
        <v>25</v>
      </c>
      <c r="H68" t="s">
        <v>58</v>
      </c>
      <c r="I68" t="s">
        <v>15</v>
      </c>
      <c r="J68" t="s">
        <v>40</v>
      </c>
      <c r="L68">
        <v>3</v>
      </c>
      <c r="M68" s="1">
        <v>45365</v>
      </c>
    </row>
    <row r="69" spans="1:13" x14ac:dyDescent="0.35">
      <c r="A69" t="s">
        <v>161</v>
      </c>
      <c r="B69" t="s">
        <v>162</v>
      </c>
      <c r="C69" t="s">
        <v>184</v>
      </c>
      <c r="D69">
        <v>11</v>
      </c>
      <c r="E69">
        <v>11</v>
      </c>
      <c r="F69">
        <v>0</v>
      </c>
      <c r="G69" t="s">
        <v>14</v>
      </c>
      <c r="H69" t="s">
        <v>99</v>
      </c>
      <c r="I69" t="s">
        <v>15</v>
      </c>
      <c r="J69" t="s">
        <v>26</v>
      </c>
      <c r="L69">
        <v>5</v>
      </c>
      <c r="M69" s="1">
        <v>45413</v>
      </c>
    </row>
    <row r="70" spans="1:13" x14ac:dyDescent="0.35">
      <c r="A70" t="s">
        <v>163</v>
      </c>
      <c r="B70" t="s">
        <v>36</v>
      </c>
      <c r="C70" t="s">
        <v>29</v>
      </c>
      <c r="D70">
        <v>38</v>
      </c>
      <c r="E70">
        <v>38</v>
      </c>
      <c r="F70">
        <v>0</v>
      </c>
      <c r="G70" t="s">
        <v>25</v>
      </c>
      <c r="H70" t="s">
        <v>58</v>
      </c>
      <c r="I70" t="s">
        <v>88</v>
      </c>
      <c r="J70" t="s">
        <v>40</v>
      </c>
      <c r="L70">
        <v>5</v>
      </c>
      <c r="M70" s="1">
        <v>45455</v>
      </c>
    </row>
    <row r="71" spans="1:13" x14ac:dyDescent="0.35">
      <c r="A71" t="s">
        <v>164</v>
      </c>
      <c r="B71" t="s">
        <v>39</v>
      </c>
      <c r="C71" t="s">
        <v>117</v>
      </c>
      <c r="D71">
        <v>2</v>
      </c>
      <c r="E71">
        <v>2</v>
      </c>
      <c r="F71">
        <v>0</v>
      </c>
      <c r="G71" t="s">
        <v>14</v>
      </c>
      <c r="H71" t="s">
        <v>99</v>
      </c>
      <c r="I71" t="s">
        <v>15</v>
      </c>
      <c r="J71" t="s">
        <v>26</v>
      </c>
      <c r="L71">
        <v>8</v>
      </c>
      <c r="M71" s="1">
        <v>45428</v>
      </c>
    </row>
    <row r="72" spans="1:13" x14ac:dyDescent="0.35">
      <c r="A72" t="s">
        <v>165</v>
      </c>
      <c r="B72" t="s">
        <v>166</v>
      </c>
      <c r="C72" t="s">
        <v>184</v>
      </c>
      <c r="D72">
        <v>41</v>
      </c>
      <c r="E72">
        <v>41</v>
      </c>
      <c r="F72">
        <v>0</v>
      </c>
      <c r="G72" t="s">
        <v>25</v>
      </c>
      <c r="H72" t="s">
        <v>32</v>
      </c>
      <c r="I72" t="s">
        <v>105</v>
      </c>
      <c r="J72" t="s">
        <v>40</v>
      </c>
      <c r="L72">
        <v>5</v>
      </c>
      <c r="M72" s="1">
        <v>45555</v>
      </c>
    </row>
    <row r="73" spans="1:13" x14ac:dyDescent="0.35">
      <c r="A73" t="s">
        <v>167</v>
      </c>
      <c r="B73" t="s">
        <v>168</v>
      </c>
      <c r="C73" t="s">
        <v>154</v>
      </c>
      <c r="D73">
        <v>52</v>
      </c>
      <c r="E73">
        <v>52</v>
      </c>
      <c r="F73">
        <v>0</v>
      </c>
      <c r="G73" t="s">
        <v>14</v>
      </c>
      <c r="H73" t="s">
        <v>19</v>
      </c>
      <c r="I73" t="s">
        <v>15</v>
      </c>
      <c r="J73" t="s">
        <v>20</v>
      </c>
      <c r="K73">
        <v>30000</v>
      </c>
      <c r="L73">
        <v>9</v>
      </c>
      <c r="M73" s="1">
        <v>45422</v>
      </c>
    </row>
    <row r="74" spans="1:13" x14ac:dyDescent="0.35">
      <c r="A74" t="s">
        <v>169</v>
      </c>
      <c r="B74" t="s">
        <v>1044</v>
      </c>
      <c r="C74" t="s">
        <v>29</v>
      </c>
      <c r="D74">
        <v>43</v>
      </c>
      <c r="E74">
        <v>43</v>
      </c>
      <c r="F74">
        <v>0</v>
      </c>
      <c r="G74" t="s">
        <v>25</v>
      </c>
      <c r="H74" t="s">
        <v>32</v>
      </c>
      <c r="I74" t="s">
        <v>105</v>
      </c>
      <c r="J74" t="s">
        <v>16</v>
      </c>
      <c r="L74">
        <v>1</v>
      </c>
      <c r="M74" s="1">
        <v>45412</v>
      </c>
    </row>
    <row r="75" spans="1:13" x14ac:dyDescent="0.35">
      <c r="A75" t="s">
        <v>170</v>
      </c>
      <c r="B75" t="s">
        <v>171</v>
      </c>
      <c r="C75" t="s">
        <v>172</v>
      </c>
      <c r="D75">
        <v>47</v>
      </c>
      <c r="E75">
        <v>47</v>
      </c>
      <c r="F75">
        <v>0</v>
      </c>
      <c r="G75" t="s">
        <v>14</v>
      </c>
      <c r="H75" t="s">
        <v>99</v>
      </c>
      <c r="I75" t="s">
        <v>15</v>
      </c>
      <c r="J75" t="s">
        <v>16</v>
      </c>
      <c r="L75">
        <v>6</v>
      </c>
      <c r="M75" s="1">
        <v>45397</v>
      </c>
    </row>
    <row r="76" spans="1:13" x14ac:dyDescent="0.35">
      <c r="A76" t="s">
        <v>173</v>
      </c>
      <c r="B76" t="s">
        <v>174</v>
      </c>
      <c r="C76" t="s">
        <v>117</v>
      </c>
      <c r="D76">
        <v>36</v>
      </c>
      <c r="E76">
        <v>36</v>
      </c>
      <c r="F76">
        <v>0</v>
      </c>
      <c r="G76" t="s">
        <v>14</v>
      </c>
      <c r="H76" t="s">
        <v>19</v>
      </c>
      <c r="I76" t="s">
        <v>88</v>
      </c>
      <c r="J76" t="s">
        <v>20</v>
      </c>
      <c r="K76">
        <v>65872</v>
      </c>
      <c r="L76">
        <v>3</v>
      </c>
      <c r="M76" s="1">
        <v>45365</v>
      </c>
    </row>
    <row r="77" spans="1:13" x14ac:dyDescent="0.35">
      <c r="A77" t="s">
        <v>175</v>
      </c>
      <c r="B77" t="s">
        <v>176</v>
      </c>
      <c r="C77" t="s">
        <v>172</v>
      </c>
      <c r="D77">
        <v>28</v>
      </c>
      <c r="E77">
        <v>28</v>
      </c>
      <c r="F77">
        <v>0</v>
      </c>
      <c r="G77" t="s">
        <v>14</v>
      </c>
      <c r="H77" t="s">
        <v>32</v>
      </c>
      <c r="I77" t="s">
        <v>2153</v>
      </c>
      <c r="J77" t="s">
        <v>16</v>
      </c>
      <c r="L77">
        <v>6</v>
      </c>
      <c r="M77" s="1">
        <v>45335</v>
      </c>
    </row>
    <row r="78" spans="1:13" x14ac:dyDescent="0.35">
      <c r="A78" t="s">
        <v>177</v>
      </c>
      <c r="B78" t="s">
        <v>178</v>
      </c>
      <c r="C78" t="s">
        <v>119</v>
      </c>
      <c r="D78">
        <v>27</v>
      </c>
      <c r="E78">
        <v>27</v>
      </c>
      <c r="F78">
        <v>0</v>
      </c>
      <c r="G78" t="s">
        <v>14</v>
      </c>
      <c r="H78" t="s">
        <v>58</v>
      </c>
      <c r="I78" t="s">
        <v>105</v>
      </c>
      <c r="J78" t="s">
        <v>20</v>
      </c>
      <c r="K78">
        <v>74446</v>
      </c>
      <c r="L78">
        <v>2</v>
      </c>
      <c r="M78" s="1">
        <v>45368</v>
      </c>
    </row>
    <row r="79" spans="1:13" x14ac:dyDescent="0.35">
      <c r="A79" t="s">
        <v>179</v>
      </c>
      <c r="B79" t="s">
        <v>180</v>
      </c>
      <c r="C79" t="s">
        <v>119</v>
      </c>
      <c r="D79">
        <v>39</v>
      </c>
      <c r="E79">
        <v>39</v>
      </c>
      <c r="F79">
        <v>0</v>
      </c>
      <c r="G79" t="s">
        <v>25</v>
      </c>
      <c r="H79" t="s">
        <v>19</v>
      </c>
      <c r="I79" t="s">
        <v>15</v>
      </c>
      <c r="J79" t="s">
        <v>26</v>
      </c>
      <c r="L79">
        <v>6</v>
      </c>
      <c r="M79" s="1">
        <v>45331</v>
      </c>
    </row>
    <row r="80" spans="1:13" x14ac:dyDescent="0.35">
      <c r="A80" t="s">
        <v>181</v>
      </c>
      <c r="B80" t="s">
        <v>83</v>
      </c>
      <c r="C80" t="s">
        <v>119</v>
      </c>
      <c r="D80">
        <v>26</v>
      </c>
      <c r="E80">
        <v>26</v>
      </c>
      <c r="F80">
        <v>0</v>
      </c>
      <c r="G80" t="s">
        <v>25</v>
      </c>
      <c r="H80" t="s">
        <v>58</v>
      </c>
      <c r="I80" t="s">
        <v>15</v>
      </c>
      <c r="J80" t="s">
        <v>20</v>
      </c>
      <c r="K80">
        <v>67882</v>
      </c>
      <c r="L80">
        <v>9</v>
      </c>
      <c r="M80" s="1">
        <v>45409</v>
      </c>
    </row>
    <row r="81" spans="1:13" x14ac:dyDescent="0.35">
      <c r="A81" t="s">
        <v>182</v>
      </c>
      <c r="B81" t="s">
        <v>183</v>
      </c>
      <c r="C81" t="s">
        <v>184</v>
      </c>
      <c r="D81">
        <v>21</v>
      </c>
      <c r="E81">
        <v>21</v>
      </c>
      <c r="F81">
        <v>0</v>
      </c>
      <c r="G81" t="s">
        <v>14</v>
      </c>
      <c r="H81" t="s">
        <v>58</v>
      </c>
      <c r="I81" t="s">
        <v>15</v>
      </c>
      <c r="J81" t="s">
        <v>20</v>
      </c>
      <c r="K81">
        <v>87699</v>
      </c>
      <c r="L81">
        <v>9</v>
      </c>
      <c r="M81" s="1">
        <v>45341</v>
      </c>
    </row>
    <row r="82" spans="1:13" x14ac:dyDescent="0.35">
      <c r="A82" t="s">
        <v>185</v>
      </c>
      <c r="B82" t="s">
        <v>186</v>
      </c>
      <c r="C82" t="s">
        <v>13</v>
      </c>
      <c r="D82">
        <v>24</v>
      </c>
      <c r="E82">
        <v>24</v>
      </c>
      <c r="F82">
        <v>0</v>
      </c>
      <c r="G82" t="s">
        <v>25</v>
      </c>
      <c r="H82" t="s">
        <v>32</v>
      </c>
      <c r="I82" t="s">
        <v>88</v>
      </c>
      <c r="J82" t="s">
        <v>26</v>
      </c>
      <c r="L82">
        <v>8</v>
      </c>
      <c r="M82" s="1">
        <v>45571</v>
      </c>
    </row>
    <row r="83" spans="1:13" x14ac:dyDescent="0.35">
      <c r="A83" t="s">
        <v>187</v>
      </c>
      <c r="B83" t="s">
        <v>188</v>
      </c>
      <c r="C83" t="s">
        <v>184</v>
      </c>
      <c r="D83">
        <v>64</v>
      </c>
      <c r="E83">
        <v>64</v>
      </c>
      <c r="F83">
        <v>0</v>
      </c>
      <c r="G83" t="s">
        <v>14</v>
      </c>
      <c r="H83" t="s">
        <v>58</v>
      </c>
      <c r="I83" t="s">
        <v>105</v>
      </c>
      <c r="J83" t="s">
        <v>20</v>
      </c>
      <c r="K83">
        <v>30000</v>
      </c>
      <c r="L83">
        <v>3</v>
      </c>
      <c r="M83" s="1">
        <v>45414</v>
      </c>
    </row>
    <row r="84" spans="1:13" x14ac:dyDescent="0.35">
      <c r="A84" t="s">
        <v>189</v>
      </c>
      <c r="B84" t="s">
        <v>190</v>
      </c>
      <c r="C84" t="s">
        <v>69</v>
      </c>
      <c r="D84">
        <v>50</v>
      </c>
      <c r="E84">
        <v>50</v>
      </c>
      <c r="F84">
        <v>0</v>
      </c>
      <c r="G84" t="s">
        <v>14</v>
      </c>
      <c r="H84" t="s">
        <v>99</v>
      </c>
      <c r="I84" t="s">
        <v>88</v>
      </c>
      <c r="J84" t="s">
        <v>40</v>
      </c>
      <c r="L84">
        <v>3</v>
      </c>
      <c r="M84" s="1">
        <v>45419</v>
      </c>
    </row>
    <row r="85" spans="1:13" x14ac:dyDescent="0.35">
      <c r="A85" t="s">
        <v>191</v>
      </c>
      <c r="B85" t="s">
        <v>192</v>
      </c>
      <c r="C85" t="s">
        <v>154</v>
      </c>
      <c r="D85">
        <v>45</v>
      </c>
      <c r="E85">
        <v>45</v>
      </c>
      <c r="F85">
        <v>0</v>
      </c>
      <c r="G85" t="s">
        <v>25</v>
      </c>
      <c r="H85" t="s">
        <v>32</v>
      </c>
      <c r="I85" t="s">
        <v>2154</v>
      </c>
      <c r="J85" t="s">
        <v>40</v>
      </c>
      <c r="L85">
        <v>9</v>
      </c>
      <c r="M85" s="1">
        <v>45548</v>
      </c>
    </row>
    <row r="86" spans="1:13" x14ac:dyDescent="0.35">
      <c r="A86" t="s">
        <v>193</v>
      </c>
      <c r="B86" t="s">
        <v>194</v>
      </c>
      <c r="C86" t="s">
        <v>184</v>
      </c>
      <c r="D86">
        <v>15</v>
      </c>
      <c r="E86">
        <v>15</v>
      </c>
      <c r="F86">
        <v>0</v>
      </c>
      <c r="G86" t="s">
        <v>25</v>
      </c>
      <c r="H86" t="s">
        <v>32</v>
      </c>
      <c r="I86" t="s">
        <v>105</v>
      </c>
      <c r="J86" t="s">
        <v>26</v>
      </c>
      <c r="L86">
        <v>3</v>
      </c>
      <c r="M86" s="1">
        <v>45431</v>
      </c>
    </row>
    <row r="87" spans="1:13" x14ac:dyDescent="0.35">
      <c r="A87" t="s">
        <v>195</v>
      </c>
      <c r="B87" t="s">
        <v>196</v>
      </c>
      <c r="C87" t="s">
        <v>184</v>
      </c>
      <c r="D87">
        <v>19</v>
      </c>
      <c r="E87">
        <v>19</v>
      </c>
      <c r="F87">
        <v>0</v>
      </c>
      <c r="G87" t="s">
        <v>25</v>
      </c>
      <c r="H87" t="s">
        <v>58</v>
      </c>
      <c r="I87" t="s">
        <v>15</v>
      </c>
      <c r="J87" t="s">
        <v>20</v>
      </c>
      <c r="K87">
        <v>36014</v>
      </c>
      <c r="L87">
        <v>1</v>
      </c>
      <c r="M87" s="1">
        <v>45433</v>
      </c>
    </row>
    <row r="88" spans="1:13" x14ac:dyDescent="0.35">
      <c r="A88" t="s">
        <v>197</v>
      </c>
      <c r="B88" t="s">
        <v>198</v>
      </c>
      <c r="C88" t="s">
        <v>45</v>
      </c>
      <c r="D88">
        <v>42</v>
      </c>
      <c r="E88">
        <v>42</v>
      </c>
      <c r="F88">
        <v>0</v>
      </c>
      <c r="G88" t="s">
        <v>25</v>
      </c>
      <c r="H88" t="s">
        <v>58</v>
      </c>
      <c r="I88" t="s">
        <v>15</v>
      </c>
      <c r="J88" t="s">
        <v>16</v>
      </c>
      <c r="L88">
        <v>4</v>
      </c>
      <c r="M88" s="1">
        <v>45392</v>
      </c>
    </row>
    <row r="89" spans="1:13" x14ac:dyDescent="0.35">
      <c r="A89" t="s">
        <v>199</v>
      </c>
      <c r="B89" t="s">
        <v>200</v>
      </c>
      <c r="C89" t="s">
        <v>117</v>
      </c>
      <c r="D89">
        <v>49</v>
      </c>
      <c r="E89">
        <v>49</v>
      </c>
      <c r="F89">
        <v>0</v>
      </c>
      <c r="G89" t="s">
        <v>25</v>
      </c>
      <c r="H89" t="s">
        <v>99</v>
      </c>
      <c r="I89" t="s">
        <v>2154</v>
      </c>
      <c r="J89" t="s">
        <v>20</v>
      </c>
      <c r="K89">
        <v>32781</v>
      </c>
      <c r="L89">
        <v>5</v>
      </c>
      <c r="M89" s="1">
        <v>45373</v>
      </c>
    </row>
    <row r="90" spans="1:13" x14ac:dyDescent="0.35">
      <c r="A90" t="s">
        <v>201</v>
      </c>
      <c r="B90" t="s">
        <v>202</v>
      </c>
      <c r="C90" t="s">
        <v>117</v>
      </c>
      <c r="D90">
        <v>20</v>
      </c>
      <c r="E90">
        <v>20</v>
      </c>
      <c r="F90">
        <v>0</v>
      </c>
      <c r="G90" t="s">
        <v>14</v>
      </c>
      <c r="H90" t="s">
        <v>99</v>
      </c>
      <c r="I90" t="s">
        <v>15</v>
      </c>
      <c r="J90" t="s">
        <v>26</v>
      </c>
      <c r="L90">
        <v>6</v>
      </c>
      <c r="M90" s="1">
        <v>45317</v>
      </c>
    </row>
    <row r="91" spans="1:13" x14ac:dyDescent="0.35">
      <c r="A91" t="s">
        <v>203</v>
      </c>
      <c r="B91" t="s">
        <v>204</v>
      </c>
      <c r="C91" t="s">
        <v>172</v>
      </c>
      <c r="D91">
        <v>51</v>
      </c>
      <c r="E91">
        <v>51</v>
      </c>
      <c r="F91">
        <v>0</v>
      </c>
      <c r="G91" t="s">
        <v>14</v>
      </c>
      <c r="H91" t="s">
        <v>99</v>
      </c>
      <c r="I91" t="s">
        <v>2154</v>
      </c>
      <c r="J91" t="s">
        <v>16</v>
      </c>
      <c r="L91">
        <v>2</v>
      </c>
      <c r="M91" s="1">
        <v>45455</v>
      </c>
    </row>
    <row r="92" spans="1:13" x14ac:dyDescent="0.35">
      <c r="A92" t="s">
        <v>205</v>
      </c>
      <c r="B92" t="s">
        <v>206</v>
      </c>
      <c r="C92" t="s">
        <v>45</v>
      </c>
      <c r="D92">
        <v>31</v>
      </c>
      <c r="E92">
        <v>31</v>
      </c>
      <c r="F92">
        <v>0</v>
      </c>
      <c r="G92" t="s">
        <v>14</v>
      </c>
      <c r="H92" t="s">
        <v>32</v>
      </c>
      <c r="I92" t="s">
        <v>15</v>
      </c>
      <c r="J92" t="s">
        <v>16</v>
      </c>
      <c r="L92">
        <v>2</v>
      </c>
      <c r="M92" s="1">
        <v>45494</v>
      </c>
    </row>
    <row r="93" spans="1:13" x14ac:dyDescent="0.35">
      <c r="A93" t="s">
        <v>207</v>
      </c>
      <c r="B93" t="s">
        <v>208</v>
      </c>
      <c r="C93" t="s">
        <v>119</v>
      </c>
      <c r="D93">
        <v>26</v>
      </c>
      <c r="E93">
        <v>26</v>
      </c>
      <c r="F93">
        <v>0</v>
      </c>
      <c r="G93" t="s">
        <v>14</v>
      </c>
      <c r="H93" t="s">
        <v>99</v>
      </c>
      <c r="I93" t="s">
        <v>2154</v>
      </c>
      <c r="J93" t="s">
        <v>40</v>
      </c>
      <c r="L93">
        <v>7</v>
      </c>
      <c r="M93" s="1">
        <v>45414</v>
      </c>
    </row>
    <row r="94" spans="1:13" x14ac:dyDescent="0.35">
      <c r="A94" t="s">
        <v>209</v>
      </c>
      <c r="B94" t="s">
        <v>210</v>
      </c>
      <c r="C94" t="s">
        <v>184</v>
      </c>
      <c r="D94">
        <v>63</v>
      </c>
      <c r="E94">
        <v>63</v>
      </c>
      <c r="F94">
        <v>0</v>
      </c>
      <c r="G94" t="s">
        <v>14</v>
      </c>
      <c r="H94" t="s">
        <v>32</v>
      </c>
      <c r="I94" t="s">
        <v>88</v>
      </c>
      <c r="J94" t="s">
        <v>40</v>
      </c>
      <c r="L94">
        <v>3</v>
      </c>
      <c r="M94" s="1">
        <v>45359</v>
      </c>
    </row>
    <row r="95" spans="1:13" x14ac:dyDescent="0.35">
      <c r="A95" t="s">
        <v>211</v>
      </c>
      <c r="B95" t="s">
        <v>212</v>
      </c>
      <c r="C95" t="s">
        <v>69</v>
      </c>
      <c r="D95">
        <v>35</v>
      </c>
      <c r="E95">
        <v>35</v>
      </c>
      <c r="F95">
        <v>0</v>
      </c>
      <c r="G95" t="s">
        <v>25</v>
      </c>
      <c r="H95" t="s">
        <v>32</v>
      </c>
      <c r="I95" t="s">
        <v>105</v>
      </c>
      <c r="J95" t="s">
        <v>16</v>
      </c>
      <c r="L95">
        <v>3</v>
      </c>
      <c r="M95" s="1">
        <v>45428</v>
      </c>
    </row>
    <row r="96" spans="1:13" x14ac:dyDescent="0.35">
      <c r="A96" t="s">
        <v>213</v>
      </c>
      <c r="B96" t="s">
        <v>214</v>
      </c>
      <c r="C96" t="s">
        <v>29</v>
      </c>
      <c r="D96">
        <v>53</v>
      </c>
      <c r="E96">
        <v>53</v>
      </c>
      <c r="F96">
        <v>0</v>
      </c>
      <c r="G96" t="s">
        <v>14</v>
      </c>
      <c r="H96" t="s">
        <v>32</v>
      </c>
      <c r="I96" t="s">
        <v>105</v>
      </c>
      <c r="J96" t="s">
        <v>20</v>
      </c>
      <c r="K96">
        <v>30000</v>
      </c>
      <c r="L96">
        <v>7</v>
      </c>
      <c r="M96" s="1">
        <v>45365</v>
      </c>
    </row>
    <row r="97" spans="1:13" x14ac:dyDescent="0.35">
      <c r="A97" t="s">
        <v>215</v>
      </c>
      <c r="B97" t="s">
        <v>216</v>
      </c>
      <c r="C97" t="s">
        <v>119</v>
      </c>
      <c r="D97">
        <v>26</v>
      </c>
      <c r="E97">
        <v>26</v>
      </c>
      <c r="F97">
        <v>0</v>
      </c>
      <c r="G97" t="s">
        <v>25</v>
      </c>
      <c r="H97" t="s">
        <v>99</v>
      </c>
      <c r="I97" t="s">
        <v>2153</v>
      </c>
      <c r="J97" t="s">
        <v>37</v>
      </c>
      <c r="K97">
        <v>30000</v>
      </c>
      <c r="L97">
        <v>1</v>
      </c>
      <c r="M97" s="1">
        <v>45584</v>
      </c>
    </row>
    <row r="98" spans="1:13" x14ac:dyDescent="0.35">
      <c r="A98" t="s">
        <v>217</v>
      </c>
      <c r="B98" t="s">
        <v>218</v>
      </c>
      <c r="C98" t="s">
        <v>13</v>
      </c>
      <c r="D98">
        <v>37</v>
      </c>
      <c r="E98">
        <v>37</v>
      </c>
      <c r="F98">
        <v>0</v>
      </c>
      <c r="G98" t="s">
        <v>14</v>
      </c>
      <c r="H98" t="s">
        <v>58</v>
      </c>
      <c r="I98" t="s">
        <v>105</v>
      </c>
      <c r="J98" t="s">
        <v>26</v>
      </c>
      <c r="L98">
        <v>2</v>
      </c>
      <c r="M98" s="1">
        <v>45635</v>
      </c>
    </row>
    <row r="99" spans="1:13" x14ac:dyDescent="0.35">
      <c r="A99" t="s">
        <v>219</v>
      </c>
      <c r="B99" t="s">
        <v>220</v>
      </c>
      <c r="C99" t="s">
        <v>117</v>
      </c>
      <c r="D99">
        <v>47</v>
      </c>
      <c r="E99">
        <v>47</v>
      </c>
      <c r="F99">
        <v>0</v>
      </c>
      <c r="G99" t="s">
        <v>14</v>
      </c>
      <c r="H99" t="s">
        <v>99</v>
      </c>
      <c r="I99" t="s">
        <v>105</v>
      </c>
      <c r="J99" t="s">
        <v>20</v>
      </c>
      <c r="K99">
        <v>54721</v>
      </c>
      <c r="L99">
        <v>4</v>
      </c>
      <c r="M99" s="1">
        <v>45558</v>
      </c>
    </row>
    <row r="100" spans="1:13" x14ac:dyDescent="0.35">
      <c r="A100" t="s">
        <v>221</v>
      </c>
      <c r="B100" t="s">
        <v>129</v>
      </c>
      <c r="C100" t="s">
        <v>154</v>
      </c>
      <c r="D100">
        <v>20</v>
      </c>
      <c r="E100">
        <v>20</v>
      </c>
      <c r="F100">
        <v>0</v>
      </c>
      <c r="G100" t="s">
        <v>14</v>
      </c>
      <c r="H100" t="s">
        <v>58</v>
      </c>
      <c r="I100" t="s">
        <v>88</v>
      </c>
      <c r="J100" t="s">
        <v>26</v>
      </c>
      <c r="L100">
        <v>8</v>
      </c>
      <c r="M100" s="1">
        <v>45539</v>
      </c>
    </row>
    <row r="101" spans="1:13" x14ac:dyDescent="0.35">
      <c r="A101" t="s">
        <v>222</v>
      </c>
      <c r="B101" t="s">
        <v>223</v>
      </c>
      <c r="C101" t="s">
        <v>45</v>
      </c>
      <c r="D101">
        <v>36</v>
      </c>
      <c r="E101">
        <v>36</v>
      </c>
      <c r="F101">
        <v>0</v>
      </c>
      <c r="G101" t="s">
        <v>14</v>
      </c>
      <c r="H101" t="s">
        <v>58</v>
      </c>
      <c r="I101" t="s">
        <v>15</v>
      </c>
      <c r="J101" t="s">
        <v>26</v>
      </c>
      <c r="L101">
        <v>6</v>
      </c>
      <c r="M101" s="1">
        <v>45380</v>
      </c>
    </row>
    <row r="102" spans="1:13" x14ac:dyDescent="0.35">
      <c r="A102" t="s">
        <v>224</v>
      </c>
      <c r="B102" t="s">
        <v>225</v>
      </c>
      <c r="C102" t="s">
        <v>130</v>
      </c>
      <c r="D102">
        <v>45</v>
      </c>
      <c r="E102">
        <v>45</v>
      </c>
      <c r="F102">
        <v>0</v>
      </c>
      <c r="G102" t="s">
        <v>14</v>
      </c>
      <c r="H102" t="s">
        <v>32</v>
      </c>
      <c r="I102" t="s">
        <v>15</v>
      </c>
      <c r="J102" t="s">
        <v>16</v>
      </c>
      <c r="L102">
        <v>7</v>
      </c>
      <c r="M102" s="1">
        <v>45457</v>
      </c>
    </row>
    <row r="103" spans="1:13" x14ac:dyDescent="0.35">
      <c r="A103" t="s">
        <v>226</v>
      </c>
      <c r="B103" t="s">
        <v>227</v>
      </c>
      <c r="C103" t="s">
        <v>154</v>
      </c>
      <c r="D103">
        <v>24</v>
      </c>
      <c r="E103">
        <v>24</v>
      </c>
      <c r="F103">
        <v>0</v>
      </c>
      <c r="G103" t="s">
        <v>14</v>
      </c>
      <c r="H103" t="s">
        <v>32</v>
      </c>
      <c r="I103" t="s">
        <v>15</v>
      </c>
      <c r="J103" t="s">
        <v>20</v>
      </c>
      <c r="K103">
        <v>30000</v>
      </c>
      <c r="L103">
        <v>8</v>
      </c>
      <c r="M103" s="1">
        <v>45458</v>
      </c>
    </row>
    <row r="104" spans="1:13" x14ac:dyDescent="0.35">
      <c r="A104" t="s">
        <v>228</v>
      </c>
      <c r="B104" t="s">
        <v>229</v>
      </c>
      <c r="C104" t="s">
        <v>130</v>
      </c>
      <c r="D104">
        <v>34</v>
      </c>
      <c r="E104">
        <v>34</v>
      </c>
      <c r="F104">
        <v>0</v>
      </c>
      <c r="G104" t="s">
        <v>25</v>
      </c>
      <c r="H104" t="s">
        <v>19</v>
      </c>
      <c r="I104" t="s">
        <v>105</v>
      </c>
      <c r="J104" t="s">
        <v>20</v>
      </c>
      <c r="K104">
        <v>66091</v>
      </c>
      <c r="L104">
        <v>5</v>
      </c>
      <c r="M104" s="1">
        <v>45574</v>
      </c>
    </row>
    <row r="105" spans="1:13" x14ac:dyDescent="0.35">
      <c r="A105" t="s">
        <v>230</v>
      </c>
      <c r="B105" t="s">
        <v>231</v>
      </c>
      <c r="C105" t="s">
        <v>45</v>
      </c>
      <c r="D105">
        <v>30</v>
      </c>
      <c r="E105">
        <v>30</v>
      </c>
      <c r="F105">
        <v>0</v>
      </c>
      <c r="G105" t="s">
        <v>25</v>
      </c>
      <c r="H105" t="s">
        <v>58</v>
      </c>
      <c r="I105" t="s">
        <v>88</v>
      </c>
      <c r="J105" t="s">
        <v>16</v>
      </c>
      <c r="L105">
        <v>3</v>
      </c>
      <c r="M105" s="1">
        <v>45430</v>
      </c>
    </row>
    <row r="106" spans="1:13" x14ac:dyDescent="0.35">
      <c r="A106" t="s">
        <v>232</v>
      </c>
      <c r="B106" t="s">
        <v>233</v>
      </c>
      <c r="C106" t="s">
        <v>130</v>
      </c>
      <c r="D106">
        <v>36</v>
      </c>
      <c r="E106">
        <v>36</v>
      </c>
      <c r="F106">
        <v>0</v>
      </c>
      <c r="G106" t="s">
        <v>25</v>
      </c>
      <c r="H106" t="s">
        <v>99</v>
      </c>
      <c r="I106" t="s">
        <v>15</v>
      </c>
      <c r="J106" t="s">
        <v>16</v>
      </c>
      <c r="L106">
        <v>2</v>
      </c>
      <c r="M106" s="1">
        <v>45421</v>
      </c>
    </row>
    <row r="107" spans="1:13" x14ac:dyDescent="0.35">
      <c r="A107" t="s">
        <v>234</v>
      </c>
      <c r="B107" t="s">
        <v>235</v>
      </c>
      <c r="C107" t="s">
        <v>69</v>
      </c>
      <c r="D107">
        <v>65</v>
      </c>
      <c r="E107">
        <v>65</v>
      </c>
      <c r="F107">
        <v>0</v>
      </c>
      <c r="G107" t="s">
        <v>25</v>
      </c>
      <c r="H107" t="s">
        <v>32</v>
      </c>
      <c r="I107" t="s">
        <v>2153</v>
      </c>
      <c r="J107" t="s">
        <v>16</v>
      </c>
      <c r="L107">
        <v>3</v>
      </c>
      <c r="M107" s="1">
        <v>45347</v>
      </c>
    </row>
    <row r="108" spans="1:13" x14ac:dyDescent="0.35">
      <c r="A108" t="s">
        <v>236</v>
      </c>
      <c r="B108" t="s">
        <v>237</v>
      </c>
      <c r="C108" t="s">
        <v>130</v>
      </c>
      <c r="D108">
        <v>17</v>
      </c>
      <c r="E108">
        <v>17</v>
      </c>
      <c r="F108">
        <v>0</v>
      </c>
      <c r="G108" t="s">
        <v>25</v>
      </c>
      <c r="H108" t="s">
        <v>32</v>
      </c>
      <c r="I108" t="s">
        <v>2153</v>
      </c>
      <c r="J108" t="s">
        <v>40</v>
      </c>
      <c r="L108">
        <v>8</v>
      </c>
      <c r="M108" s="1">
        <v>45533</v>
      </c>
    </row>
    <row r="109" spans="1:13" x14ac:dyDescent="0.35">
      <c r="A109" t="s">
        <v>238</v>
      </c>
      <c r="B109" t="s">
        <v>239</v>
      </c>
      <c r="C109" t="s">
        <v>13</v>
      </c>
      <c r="D109">
        <v>57</v>
      </c>
      <c r="E109">
        <v>57</v>
      </c>
      <c r="F109">
        <v>0</v>
      </c>
      <c r="G109" t="s">
        <v>25</v>
      </c>
      <c r="H109" t="s">
        <v>19</v>
      </c>
      <c r="I109" t="s">
        <v>15</v>
      </c>
      <c r="J109" t="s">
        <v>16</v>
      </c>
      <c r="L109">
        <v>6</v>
      </c>
      <c r="M109" s="1">
        <v>45568</v>
      </c>
    </row>
    <row r="110" spans="1:13" x14ac:dyDescent="0.35">
      <c r="A110" t="s">
        <v>240</v>
      </c>
      <c r="B110" t="s">
        <v>241</v>
      </c>
      <c r="C110" t="s">
        <v>119</v>
      </c>
      <c r="D110">
        <v>43</v>
      </c>
      <c r="E110">
        <v>43</v>
      </c>
      <c r="F110">
        <v>0</v>
      </c>
      <c r="G110" t="s">
        <v>14</v>
      </c>
      <c r="H110" t="s">
        <v>58</v>
      </c>
      <c r="I110" t="s">
        <v>105</v>
      </c>
      <c r="J110" t="s">
        <v>20</v>
      </c>
      <c r="K110">
        <v>87862</v>
      </c>
      <c r="L110">
        <v>3</v>
      </c>
      <c r="M110" s="1">
        <v>45341</v>
      </c>
    </row>
    <row r="111" spans="1:13" x14ac:dyDescent="0.35">
      <c r="A111" t="s">
        <v>242</v>
      </c>
      <c r="B111" t="s">
        <v>243</v>
      </c>
      <c r="C111" t="s">
        <v>13</v>
      </c>
      <c r="D111">
        <v>12</v>
      </c>
      <c r="E111">
        <v>12</v>
      </c>
      <c r="F111">
        <v>0</v>
      </c>
      <c r="G111" t="s">
        <v>14</v>
      </c>
      <c r="H111" t="s">
        <v>99</v>
      </c>
      <c r="I111" t="s">
        <v>88</v>
      </c>
      <c r="J111" t="s">
        <v>26</v>
      </c>
      <c r="L111">
        <v>6</v>
      </c>
      <c r="M111" s="1">
        <v>45582</v>
      </c>
    </row>
    <row r="112" spans="1:13" x14ac:dyDescent="0.35">
      <c r="A112" t="s">
        <v>244</v>
      </c>
      <c r="B112" t="s">
        <v>245</v>
      </c>
      <c r="C112" t="s">
        <v>45</v>
      </c>
      <c r="D112">
        <v>19</v>
      </c>
      <c r="E112">
        <v>19</v>
      </c>
      <c r="F112">
        <v>0</v>
      </c>
      <c r="G112" t="s">
        <v>14</v>
      </c>
      <c r="H112" t="s">
        <v>99</v>
      </c>
      <c r="I112" t="s">
        <v>2153</v>
      </c>
      <c r="J112" t="s">
        <v>26</v>
      </c>
      <c r="L112">
        <v>3</v>
      </c>
      <c r="M112" s="1">
        <v>45574</v>
      </c>
    </row>
    <row r="113" spans="1:13" x14ac:dyDescent="0.35">
      <c r="A113" t="s">
        <v>246</v>
      </c>
      <c r="B113" t="s">
        <v>247</v>
      </c>
      <c r="C113" t="s">
        <v>154</v>
      </c>
      <c r="D113">
        <v>31</v>
      </c>
      <c r="E113">
        <v>31</v>
      </c>
      <c r="F113">
        <v>0</v>
      </c>
      <c r="G113" t="s">
        <v>14</v>
      </c>
      <c r="H113" t="s">
        <v>19</v>
      </c>
      <c r="I113" t="s">
        <v>15</v>
      </c>
      <c r="J113" t="s">
        <v>20</v>
      </c>
      <c r="K113">
        <v>34745</v>
      </c>
      <c r="L113">
        <v>9</v>
      </c>
      <c r="M113" s="1">
        <v>45562</v>
      </c>
    </row>
    <row r="114" spans="1:13" x14ac:dyDescent="0.35">
      <c r="A114" t="s">
        <v>248</v>
      </c>
      <c r="B114" t="s">
        <v>249</v>
      </c>
      <c r="C114" t="s">
        <v>29</v>
      </c>
      <c r="D114">
        <v>35</v>
      </c>
      <c r="E114">
        <v>35</v>
      </c>
      <c r="F114">
        <v>0</v>
      </c>
      <c r="G114" t="s">
        <v>14</v>
      </c>
      <c r="H114" t="s">
        <v>32</v>
      </c>
      <c r="I114" t="s">
        <v>105</v>
      </c>
      <c r="J114" t="s">
        <v>26</v>
      </c>
      <c r="L114">
        <v>8</v>
      </c>
      <c r="M114" s="1">
        <v>45378</v>
      </c>
    </row>
    <row r="115" spans="1:13" x14ac:dyDescent="0.35">
      <c r="A115" t="s">
        <v>250</v>
      </c>
      <c r="B115" t="s">
        <v>251</v>
      </c>
      <c r="C115" t="s">
        <v>45</v>
      </c>
      <c r="D115">
        <v>36</v>
      </c>
      <c r="E115">
        <v>36</v>
      </c>
      <c r="F115">
        <v>0</v>
      </c>
      <c r="G115" t="s">
        <v>14</v>
      </c>
      <c r="H115" t="s">
        <v>19</v>
      </c>
      <c r="I115" t="s">
        <v>15</v>
      </c>
      <c r="J115" t="s">
        <v>26</v>
      </c>
      <c r="L115">
        <v>6</v>
      </c>
      <c r="M115" s="1">
        <v>45522</v>
      </c>
    </row>
    <row r="116" spans="1:13" x14ac:dyDescent="0.35">
      <c r="A116" t="s">
        <v>252</v>
      </c>
      <c r="B116" t="s">
        <v>253</v>
      </c>
      <c r="C116" t="s">
        <v>117</v>
      </c>
      <c r="D116">
        <v>44</v>
      </c>
      <c r="E116">
        <v>44</v>
      </c>
      <c r="F116">
        <v>0</v>
      </c>
      <c r="G116" t="s">
        <v>25</v>
      </c>
      <c r="H116" t="s">
        <v>19</v>
      </c>
      <c r="I116" t="s">
        <v>88</v>
      </c>
      <c r="J116" t="s">
        <v>16</v>
      </c>
      <c r="L116">
        <v>4</v>
      </c>
      <c r="M116" s="1">
        <v>45320</v>
      </c>
    </row>
    <row r="117" spans="1:13" x14ac:dyDescent="0.35">
      <c r="A117" t="s">
        <v>254</v>
      </c>
      <c r="B117" t="s">
        <v>255</v>
      </c>
      <c r="C117" t="s">
        <v>172</v>
      </c>
      <c r="D117">
        <v>41</v>
      </c>
      <c r="E117">
        <v>41</v>
      </c>
      <c r="F117">
        <v>0</v>
      </c>
      <c r="G117" t="s">
        <v>14</v>
      </c>
      <c r="H117" t="s">
        <v>32</v>
      </c>
      <c r="I117" t="s">
        <v>105</v>
      </c>
      <c r="J117" t="s">
        <v>26</v>
      </c>
      <c r="L117">
        <v>9</v>
      </c>
      <c r="M117" s="1">
        <v>45401</v>
      </c>
    </row>
    <row r="118" spans="1:13" x14ac:dyDescent="0.35">
      <c r="A118" t="s">
        <v>256</v>
      </c>
      <c r="B118" t="s">
        <v>257</v>
      </c>
      <c r="C118" t="s">
        <v>130</v>
      </c>
      <c r="D118">
        <v>34</v>
      </c>
      <c r="E118">
        <v>34</v>
      </c>
      <c r="F118">
        <v>0</v>
      </c>
      <c r="G118" t="s">
        <v>25</v>
      </c>
      <c r="H118" t="s">
        <v>32</v>
      </c>
      <c r="I118" t="s">
        <v>15</v>
      </c>
      <c r="J118" t="s">
        <v>20</v>
      </c>
      <c r="K118">
        <v>73804</v>
      </c>
      <c r="L118">
        <v>3</v>
      </c>
      <c r="M118" s="1">
        <v>45523</v>
      </c>
    </row>
    <row r="119" spans="1:13" x14ac:dyDescent="0.35">
      <c r="A119" t="s">
        <v>258</v>
      </c>
      <c r="B119" t="s">
        <v>259</v>
      </c>
      <c r="C119" t="s">
        <v>154</v>
      </c>
      <c r="D119">
        <v>50</v>
      </c>
      <c r="E119">
        <v>50</v>
      </c>
      <c r="F119">
        <v>0</v>
      </c>
      <c r="G119" t="s">
        <v>25</v>
      </c>
      <c r="H119" t="s">
        <v>58</v>
      </c>
      <c r="I119" t="s">
        <v>15</v>
      </c>
      <c r="J119" t="s">
        <v>16</v>
      </c>
      <c r="L119">
        <v>7</v>
      </c>
      <c r="M119" s="1">
        <v>45486</v>
      </c>
    </row>
    <row r="120" spans="1:13" x14ac:dyDescent="0.35">
      <c r="A120" t="s">
        <v>260</v>
      </c>
      <c r="B120" t="s">
        <v>261</v>
      </c>
      <c r="C120" t="s">
        <v>119</v>
      </c>
      <c r="D120">
        <v>13</v>
      </c>
      <c r="E120">
        <v>13</v>
      </c>
      <c r="F120">
        <v>0</v>
      </c>
      <c r="G120" t="s">
        <v>14</v>
      </c>
      <c r="H120" t="s">
        <v>99</v>
      </c>
      <c r="I120" t="s">
        <v>88</v>
      </c>
      <c r="J120" t="s">
        <v>26</v>
      </c>
      <c r="L120">
        <v>4</v>
      </c>
      <c r="M120" s="1">
        <v>45419</v>
      </c>
    </row>
    <row r="121" spans="1:13" x14ac:dyDescent="0.35">
      <c r="A121" t="s">
        <v>262</v>
      </c>
      <c r="B121" t="s">
        <v>263</v>
      </c>
      <c r="C121" t="s">
        <v>13</v>
      </c>
      <c r="D121">
        <v>67</v>
      </c>
      <c r="E121">
        <v>67</v>
      </c>
      <c r="F121">
        <v>0</v>
      </c>
      <c r="G121" t="s">
        <v>14</v>
      </c>
      <c r="H121" t="s">
        <v>99</v>
      </c>
      <c r="I121" t="s">
        <v>88</v>
      </c>
      <c r="J121" t="s">
        <v>20</v>
      </c>
      <c r="K121">
        <v>88349</v>
      </c>
      <c r="L121">
        <v>9</v>
      </c>
      <c r="M121" s="1">
        <v>45338</v>
      </c>
    </row>
    <row r="122" spans="1:13" x14ac:dyDescent="0.35">
      <c r="A122" t="s">
        <v>264</v>
      </c>
      <c r="B122" t="s">
        <v>265</v>
      </c>
      <c r="C122" t="s">
        <v>184</v>
      </c>
      <c r="D122">
        <v>37</v>
      </c>
      <c r="E122">
        <v>37</v>
      </c>
      <c r="F122">
        <v>0</v>
      </c>
      <c r="G122" t="s">
        <v>25</v>
      </c>
      <c r="H122" t="s">
        <v>19</v>
      </c>
      <c r="I122" t="s">
        <v>88</v>
      </c>
      <c r="J122" t="s">
        <v>37</v>
      </c>
      <c r="K122">
        <v>49392</v>
      </c>
      <c r="L122">
        <v>8</v>
      </c>
      <c r="M122" s="1">
        <v>45357</v>
      </c>
    </row>
    <row r="123" spans="1:13" x14ac:dyDescent="0.35">
      <c r="A123" t="s">
        <v>266</v>
      </c>
      <c r="B123" t="s">
        <v>267</v>
      </c>
      <c r="C123" t="s">
        <v>117</v>
      </c>
      <c r="D123">
        <v>33</v>
      </c>
      <c r="E123">
        <v>33</v>
      </c>
      <c r="F123">
        <v>0</v>
      </c>
      <c r="G123" t="s">
        <v>14</v>
      </c>
      <c r="H123" t="s">
        <v>99</v>
      </c>
      <c r="I123" t="s">
        <v>88</v>
      </c>
      <c r="J123" t="s">
        <v>40</v>
      </c>
      <c r="L123">
        <v>4</v>
      </c>
      <c r="M123" s="1">
        <v>45536</v>
      </c>
    </row>
    <row r="124" spans="1:13" x14ac:dyDescent="0.35">
      <c r="A124" t="s">
        <v>268</v>
      </c>
      <c r="B124" t="s">
        <v>269</v>
      </c>
      <c r="C124" t="s">
        <v>130</v>
      </c>
      <c r="D124">
        <v>44</v>
      </c>
      <c r="E124">
        <v>44</v>
      </c>
      <c r="F124">
        <v>0</v>
      </c>
      <c r="G124" t="s">
        <v>14</v>
      </c>
      <c r="H124" t="s">
        <v>32</v>
      </c>
      <c r="I124" t="s">
        <v>2153</v>
      </c>
      <c r="J124" t="s">
        <v>40</v>
      </c>
      <c r="L124">
        <v>5</v>
      </c>
      <c r="M124" s="1">
        <v>45298</v>
      </c>
    </row>
    <row r="125" spans="1:13" x14ac:dyDescent="0.35">
      <c r="A125" t="s">
        <v>270</v>
      </c>
      <c r="B125" t="s">
        <v>251</v>
      </c>
      <c r="C125" t="s">
        <v>130</v>
      </c>
      <c r="D125">
        <v>40</v>
      </c>
      <c r="E125">
        <v>40</v>
      </c>
      <c r="F125">
        <v>0</v>
      </c>
      <c r="G125" t="s">
        <v>14</v>
      </c>
      <c r="H125" t="s">
        <v>99</v>
      </c>
      <c r="I125" t="s">
        <v>88</v>
      </c>
      <c r="J125" t="s">
        <v>16</v>
      </c>
      <c r="L125">
        <v>1</v>
      </c>
      <c r="M125" s="1">
        <v>45339</v>
      </c>
    </row>
    <row r="126" spans="1:13" x14ac:dyDescent="0.35">
      <c r="A126" t="s">
        <v>271</v>
      </c>
      <c r="B126" t="s">
        <v>974</v>
      </c>
      <c r="C126" t="s">
        <v>29</v>
      </c>
      <c r="D126">
        <v>35</v>
      </c>
      <c r="E126">
        <v>35</v>
      </c>
      <c r="F126">
        <v>0</v>
      </c>
      <c r="G126" t="s">
        <v>14</v>
      </c>
      <c r="H126" t="s">
        <v>99</v>
      </c>
      <c r="I126" t="s">
        <v>88</v>
      </c>
      <c r="J126" t="s">
        <v>20</v>
      </c>
      <c r="K126">
        <v>72931</v>
      </c>
      <c r="L126">
        <v>3</v>
      </c>
      <c r="M126" s="1">
        <v>45483</v>
      </c>
    </row>
    <row r="127" spans="1:13" x14ac:dyDescent="0.35">
      <c r="A127" t="s">
        <v>272</v>
      </c>
      <c r="B127" t="s">
        <v>273</v>
      </c>
      <c r="C127" t="s">
        <v>13</v>
      </c>
      <c r="D127">
        <v>59</v>
      </c>
      <c r="E127">
        <v>59</v>
      </c>
      <c r="F127">
        <v>0</v>
      </c>
      <c r="G127" t="s">
        <v>14</v>
      </c>
      <c r="H127" t="s">
        <v>32</v>
      </c>
      <c r="I127" t="s">
        <v>15</v>
      </c>
      <c r="J127" t="s">
        <v>16</v>
      </c>
      <c r="L127">
        <v>9</v>
      </c>
      <c r="M127" s="1">
        <v>45415</v>
      </c>
    </row>
    <row r="128" spans="1:13" x14ac:dyDescent="0.35">
      <c r="A128" t="s">
        <v>274</v>
      </c>
      <c r="B128" t="s">
        <v>275</v>
      </c>
      <c r="C128" t="s">
        <v>172</v>
      </c>
      <c r="D128">
        <v>47</v>
      </c>
      <c r="E128">
        <v>47</v>
      </c>
      <c r="F128">
        <v>0</v>
      </c>
      <c r="G128" t="s">
        <v>25</v>
      </c>
      <c r="H128" t="s">
        <v>99</v>
      </c>
      <c r="I128" t="s">
        <v>105</v>
      </c>
      <c r="J128" t="s">
        <v>40</v>
      </c>
      <c r="L128">
        <v>8</v>
      </c>
      <c r="M128" s="1">
        <v>45450</v>
      </c>
    </row>
    <row r="129" spans="1:13" x14ac:dyDescent="0.35">
      <c r="A129" t="s">
        <v>276</v>
      </c>
      <c r="B129" t="s">
        <v>277</v>
      </c>
      <c r="C129" t="s">
        <v>69</v>
      </c>
      <c r="D129">
        <v>42</v>
      </c>
      <c r="E129">
        <v>42</v>
      </c>
      <c r="F129">
        <v>0</v>
      </c>
      <c r="G129" t="s">
        <v>14</v>
      </c>
      <c r="H129" t="s">
        <v>32</v>
      </c>
      <c r="I129" t="s">
        <v>105</v>
      </c>
      <c r="J129" t="s">
        <v>20</v>
      </c>
      <c r="K129">
        <v>30000</v>
      </c>
      <c r="L129">
        <v>1</v>
      </c>
      <c r="M129" s="1">
        <v>45480</v>
      </c>
    </row>
    <row r="130" spans="1:13" x14ac:dyDescent="0.35">
      <c r="A130" t="s">
        <v>278</v>
      </c>
      <c r="B130" t="s">
        <v>279</v>
      </c>
      <c r="C130" t="s">
        <v>184</v>
      </c>
      <c r="D130">
        <v>34</v>
      </c>
      <c r="E130">
        <v>34</v>
      </c>
      <c r="F130">
        <v>0</v>
      </c>
      <c r="G130" t="s">
        <v>25</v>
      </c>
      <c r="H130" t="s">
        <v>19</v>
      </c>
      <c r="I130" t="s">
        <v>15</v>
      </c>
      <c r="J130" t="s">
        <v>20</v>
      </c>
      <c r="K130">
        <v>30884</v>
      </c>
      <c r="L130">
        <v>4</v>
      </c>
      <c r="M130" s="1">
        <v>45553</v>
      </c>
    </row>
    <row r="131" spans="1:13" x14ac:dyDescent="0.35">
      <c r="A131" t="s">
        <v>280</v>
      </c>
      <c r="B131" t="s">
        <v>281</v>
      </c>
      <c r="C131" t="s">
        <v>45</v>
      </c>
      <c r="D131">
        <v>39</v>
      </c>
      <c r="E131">
        <v>39</v>
      </c>
      <c r="F131">
        <v>0</v>
      </c>
      <c r="G131" t="s">
        <v>25</v>
      </c>
      <c r="H131" t="s">
        <v>19</v>
      </c>
      <c r="I131" t="s">
        <v>2154</v>
      </c>
      <c r="J131" t="s">
        <v>40</v>
      </c>
      <c r="L131">
        <v>5</v>
      </c>
      <c r="M131" s="1">
        <v>45366</v>
      </c>
    </row>
    <row r="132" spans="1:13" x14ac:dyDescent="0.35">
      <c r="A132" t="s">
        <v>282</v>
      </c>
      <c r="B132" t="s">
        <v>283</v>
      </c>
      <c r="C132" t="s">
        <v>13</v>
      </c>
      <c r="D132">
        <v>66</v>
      </c>
      <c r="E132">
        <v>66</v>
      </c>
      <c r="F132">
        <v>0</v>
      </c>
      <c r="G132" t="s">
        <v>25</v>
      </c>
      <c r="H132" t="s">
        <v>58</v>
      </c>
      <c r="I132" t="s">
        <v>88</v>
      </c>
      <c r="J132" t="s">
        <v>37</v>
      </c>
      <c r="K132">
        <v>30933</v>
      </c>
      <c r="L132">
        <v>3</v>
      </c>
      <c r="M132" s="1">
        <v>45312</v>
      </c>
    </row>
    <row r="133" spans="1:13" x14ac:dyDescent="0.35">
      <c r="A133" t="s">
        <v>284</v>
      </c>
      <c r="B133" t="s">
        <v>285</v>
      </c>
      <c r="C133" t="s">
        <v>119</v>
      </c>
      <c r="D133">
        <v>33</v>
      </c>
      <c r="E133">
        <v>33</v>
      </c>
      <c r="F133">
        <v>0</v>
      </c>
      <c r="G133" t="s">
        <v>25</v>
      </c>
      <c r="H133" t="s">
        <v>32</v>
      </c>
      <c r="I133" t="s">
        <v>15</v>
      </c>
      <c r="J133" t="s">
        <v>16</v>
      </c>
      <c r="L133">
        <v>4</v>
      </c>
      <c r="M133" s="1">
        <v>45586</v>
      </c>
    </row>
    <row r="134" spans="1:13" x14ac:dyDescent="0.35">
      <c r="A134" t="s">
        <v>286</v>
      </c>
      <c r="B134" t="s">
        <v>287</v>
      </c>
      <c r="C134" t="s">
        <v>117</v>
      </c>
      <c r="D134">
        <v>56</v>
      </c>
      <c r="E134">
        <v>56</v>
      </c>
      <c r="F134">
        <v>0</v>
      </c>
      <c r="G134" t="s">
        <v>14</v>
      </c>
      <c r="H134" t="s">
        <v>99</v>
      </c>
      <c r="I134" t="s">
        <v>2154</v>
      </c>
      <c r="J134" t="s">
        <v>37</v>
      </c>
      <c r="K134">
        <v>40392</v>
      </c>
      <c r="L134">
        <v>3</v>
      </c>
      <c r="M134" s="1">
        <v>45379</v>
      </c>
    </row>
    <row r="135" spans="1:13" x14ac:dyDescent="0.35">
      <c r="A135" t="s">
        <v>288</v>
      </c>
      <c r="B135" t="s">
        <v>241</v>
      </c>
      <c r="C135" t="s">
        <v>117</v>
      </c>
      <c r="D135">
        <v>54</v>
      </c>
      <c r="E135">
        <v>54</v>
      </c>
      <c r="F135">
        <v>0</v>
      </c>
      <c r="G135" t="s">
        <v>14</v>
      </c>
      <c r="H135" t="s">
        <v>19</v>
      </c>
      <c r="I135" t="s">
        <v>15</v>
      </c>
      <c r="J135" t="s">
        <v>26</v>
      </c>
      <c r="L135">
        <v>3</v>
      </c>
      <c r="M135" s="1">
        <v>45490</v>
      </c>
    </row>
    <row r="136" spans="1:13" x14ac:dyDescent="0.35">
      <c r="A136" t="s">
        <v>289</v>
      </c>
      <c r="B136" t="s">
        <v>290</v>
      </c>
      <c r="C136" t="s">
        <v>13</v>
      </c>
      <c r="D136">
        <v>30</v>
      </c>
      <c r="E136">
        <v>30</v>
      </c>
      <c r="F136">
        <v>0</v>
      </c>
      <c r="G136" t="s">
        <v>14</v>
      </c>
      <c r="H136" t="s">
        <v>19</v>
      </c>
      <c r="I136" t="s">
        <v>88</v>
      </c>
      <c r="J136" t="s">
        <v>26</v>
      </c>
      <c r="L136">
        <v>6</v>
      </c>
      <c r="M136" s="1">
        <v>45368</v>
      </c>
    </row>
    <row r="137" spans="1:13" x14ac:dyDescent="0.35">
      <c r="A137" t="s">
        <v>291</v>
      </c>
      <c r="B137" t="s">
        <v>292</v>
      </c>
      <c r="C137" t="s">
        <v>69</v>
      </c>
      <c r="D137">
        <v>33</v>
      </c>
      <c r="E137">
        <v>33</v>
      </c>
      <c r="F137">
        <v>0</v>
      </c>
      <c r="G137" t="s">
        <v>14</v>
      </c>
      <c r="H137" t="s">
        <v>32</v>
      </c>
      <c r="I137" t="s">
        <v>105</v>
      </c>
      <c r="J137" t="s">
        <v>40</v>
      </c>
      <c r="L137">
        <v>8</v>
      </c>
      <c r="M137" s="1">
        <v>45301</v>
      </c>
    </row>
    <row r="138" spans="1:13" x14ac:dyDescent="0.35">
      <c r="A138" t="s">
        <v>293</v>
      </c>
      <c r="B138" t="s">
        <v>294</v>
      </c>
      <c r="C138" t="s">
        <v>45</v>
      </c>
      <c r="D138">
        <v>70</v>
      </c>
      <c r="E138">
        <v>70</v>
      </c>
      <c r="F138">
        <v>0</v>
      </c>
      <c r="G138" t="s">
        <v>14</v>
      </c>
      <c r="H138" t="s">
        <v>99</v>
      </c>
      <c r="I138" t="s">
        <v>2153</v>
      </c>
      <c r="J138" t="s">
        <v>40</v>
      </c>
      <c r="L138">
        <v>1</v>
      </c>
      <c r="M138" s="1">
        <v>45540</v>
      </c>
    </row>
    <row r="139" spans="1:13" x14ac:dyDescent="0.35">
      <c r="A139" t="s">
        <v>295</v>
      </c>
      <c r="B139" t="s">
        <v>296</v>
      </c>
      <c r="C139" t="s">
        <v>154</v>
      </c>
      <c r="D139">
        <v>19</v>
      </c>
      <c r="E139">
        <v>19</v>
      </c>
      <c r="F139">
        <v>0</v>
      </c>
      <c r="G139" t="s">
        <v>25</v>
      </c>
      <c r="H139" t="s">
        <v>58</v>
      </c>
      <c r="I139" t="s">
        <v>15</v>
      </c>
      <c r="J139" t="s">
        <v>20</v>
      </c>
      <c r="K139">
        <v>66332</v>
      </c>
      <c r="L139">
        <v>5</v>
      </c>
      <c r="M139" s="1">
        <v>45493</v>
      </c>
    </row>
    <row r="140" spans="1:13" x14ac:dyDescent="0.35">
      <c r="A140" t="s">
        <v>297</v>
      </c>
      <c r="B140" t="s">
        <v>298</v>
      </c>
      <c r="C140" t="s">
        <v>69</v>
      </c>
      <c r="D140">
        <v>23</v>
      </c>
      <c r="E140">
        <v>23</v>
      </c>
      <c r="F140">
        <v>0</v>
      </c>
      <c r="G140" t="s">
        <v>14</v>
      </c>
      <c r="H140" t="s">
        <v>58</v>
      </c>
      <c r="I140" t="s">
        <v>15</v>
      </c>
      <c r="J140" t="s">
        <v>40</v>
      </c>
      <c r="L140">
        <v>4</v>
      </c>
      <c r="M140" s="1">
        <v>45362</v>
      </c>
    </row>
    <row r="141" spans="1:13" x14ac:dyDescent="0.35">
      <c r="A141" t="s">
        <v>299</v>
      </c>
      <c r="B141" t="s">
        <v>300</v>
      </c>
      <c r="C141" t="s">
        <v>119</v>
      </c>
      <c r="D141">
        <v>20</v>
      </c>
      <c r="E141">
        <v>20</v>
      </c>
      <c r="F141">
        <v>0</v>
      </c>
      <c r="G141" t="s">
        <v>25</v>
      </c>
      <c r="H141" t="s">
        <v>19</v>
      </c>
      <c r="I141" t="s">
        <v>15</v>
      </c>
      <c r="J141" t="s">
        <v>20</v>
      </c>
      <c r="K141">
        <v>56557</v>
      </c>
      <c r="L141">
        <v>9</v>
      </c>
      <c r="M141" s="1">
        <v>45345</v>
      </c>
    </row>
    <row r="142" spans="1:13" x14ac:dyDescent="0.35">
      <c r="A142" t="s">
        <v>301</v>
      </c>
      <c r="B142" t="s">
        <v>302</v>
      </c>
      <c r="C142" t="s">
        <v>117</v>
      </c>
      <c r="D142">
        <v>81</v>
      </c>
      <c r="E142">
        <v>81</v>
      </c>
      <c r="F142">
        <v>0</v>
      </c>
      <c r="G142" t="s">
        <v>25</v>
      </c>
      <c r="H142" t="s">
        <v>58</v>
      </c>
      <c r="I142" t="s">
        <v>2154</v>
      </c>
      <c r="J142" t="s">
        <v>37</v>
      </c>
      <c r="K142">
        <v>58644</v>
      </c>
      <c r="L142">
        <v>5</v>
      </c>
      <c r="M142" s="1">
        <v>45499</v>
      </c>
    </row>
    <row r="143" spans="1:13" x14ac:dyDescent="0.35">
      <c r="A143" t="s">
        <v>303</v>
      </c>
      <c r="B143" t="s">
        <v>18</v>
      </c>
      <c r="C143" t="s">
        <v>29</v>
      </c>
      <c r="D143">
        <v>33</v>
      </c>
      <c r="E143">
        <v>33</v>
      </c>
      <c r="F143">
        <v>0</v>
      </c>
      <c r="G143" t="s">
        <v>14</v>
      </c>
      <c r="H143" t="s">
        <v>58</v>
      </c>
      <c r="I143" t="s">
        <v>105</v>
      </c>
      <c r="J143" t="s">
        <v>40</v>
      </c>
      <c r="L143">
        <v>6</v>
      </c>
      <c r="M143" s="1">
        <v>45558</v>
      </c>
    </row>
    <row r="144" spans="1:13" x14ac:dyDescent="0.35">
      <c r="A144" t="s">
        <v>304</v>
      </c>
      <c r="B144" t="s">
        <v>305</v>
      </c>
      <c r="C144" t="s">
        <v>184</v>
      </c>
      <c r="D144">
        <v>46</v>
      </c>
      <c r="E144">
        <v>46</v>
      </c>
      <c r="F144">
        <v>0</v>
      </c>
      <c r="G144" t="s">
        <v>14</v>
      </c>
      <c r="H144" t="s">
        <v>58</v>
      </c>
      <c r="I144" t="s">
        <v>88</v>
      </c>
      <c r="J144" t="s">
        <v>20</v>
      </c>
      <c r="K144">
        <v>30000</v>
      </c>
      <c r="L144">
        <v>8</v>
      </c>
      <c r="M144" s="1">
        <v>45519</v>
      </c>
    </row>
    <row r="145" spans="1:13" x14ac:dyDescent="0.35">
      <c r="A145" t="s">
        <v>306</v>
      </c>
      <c r="B145" t="s">
        <v>307</v>
      </c>
      <c r="C145" t="s">
        <v>45</v>
      </c>
      <c r="D145">
        <v>47</v>
      </c>
      <c r="E145">
        <v>47</v>
      </c>
      <c r="F145">
        <v>0</v>
      </c>
      <c r="G145" t="s">
        <v>14</v>
      </c>
      <c r="H145" t="s">
        <v>19</v>
      </c>
      <c r="I145" t="s">
        <v>15</v>
      </c>
      <c r="J145" t="s">
        <v>26</v>
      </c>
      <c r="L145">
        <v>4</v>
      </c>
      <c r="M145" s="1">
        <v>45337</v>
      </c>
    </row>
    <row r="146" spans="1:13" x14ac:dyDescent="0.35">
      <c r="A146" t="s">
        <v>308</v>
      </c>
      <c r="B146" t="s">
        <v>85</v>
      </c>
      <c r="C146" t="s">
        <v>29</v>
      </c>
      <c r="D146">
        <v>40</v>
      </c>
      <c r="E146">
        <v>40</v>
      </c>
      <c r="F146">
        <v>0</v>
      </c>
      <c r="G146" t="s">
        <v>14</v>
      </c>
      <c r="H146" t="s">
        <v>58</v>
      </c>
      <c r="I146" t="s">
        <v>105</v>
      </c>
      <c r="J146" t="s">
        <v>16</v>
      </c>
      <c r="L146">
        <v>5</v>
      </c>
      <c r="M146" s="1">
        <v>45425</v>
      </c>
    </row>
    <row r="147" spans="1:13" x14ac:dyDescent="0.35">
      <c r="A147" t="s">
        <v>309</v>
      </c>
      <c r="B147" t="s">
        <v>281</v>
      </c>
      <c r="C147" t="s">
        <v>13</v>
      </c>
      <c r="D147">
        <v>29</v>
      </c>
      <c r="E147">
        <v>29</v>
      </c>
      <c r="F147">
        <v>0</v>
      </c>
      <c r="G147" t="s">
        <v>25</v>
      </c>
      <c r="H147" t="s">
        <v>58</v>
      </c>
      <c r="I147" t="s">
        <v>2154</v>
      </c>
      <c r="J147" t="s">
        <v>16</v>
      </c>
      <c r="L147">
        <v>6</v>
      </c>
      <c r="M147" s="1">
        <v>45307</v>
      </c>
    </row>
    <row r="148" spans="1:13" x14ac:dyDescent="0.35">
      <c r="A148" t="s">
        <v>310</v>
      </c>
      <c r="B148" t="s">
        <v>249</v>
      </c>
      <c r="C148" t="s">
        <v>184</v>
      </c>
      <c r="D148">
        <v>25</v>
      </c>
      <c r="E148">
        <v>25</v>
      </c>
      <c r="F148">
        <v>0</v>
      </c>
      <c r="G148" t="s">
        <v>14</v>
      </c>
      <c r="H148" t="s">
        <v>32</v>
      </c>
      <c r="I148" t="s">
        <v>88</v>
      </c>
      <c r="J148" t="s">
        <v>20</v>
      </c>
      <c r="K148">
        <v>111821</v>
      </c>
      <c r="L148">
        <v>4</v>
      </c>
      <c r="M148" s="1">
        <v>45534</v>
      </c>
    </row>
    <row r="149" spans="1:13" x14ac:dyDescent="0.35">
      <c r="A149" t="s">
        <v>311</v>
      </c>
      <c r="B149" t="s">
        <v>312</v>
      </c>
      <c r="C149" t="s">
        <v>154</v>
      </c>
      <c r="D149">
        <v>41</v>
      </c>
      <c r="E149">
        <v>41</v>
      </c>
      <c r="F149">
        <v>0</v>
      </c>
      <c r="G149" t="s">
        <v>14</v>
      </c>
      <c r="H149" t="s">
        <v>19</v>
      </c>
      <c r="I149" t="s">
        <v>15</v>
      </c>
      <c r="J149" t="s">
        <v>37</v>
      </c>
      <c r="K149">
        <v>33359</v>
      </c>
      <c r="L149">
        <v>5</v>
      </c>
      <c r="M149" s="1">
        <v>45463</v>
      </c>
    </row>
    <row r="150" spans="1:13" x14ac:dyDescent="0.35">
      <c r="A150" t="s">
        <v>313</v>
      </c>
      <c r="B150" t="s">
        <v>314</v>
      </c>
      <c r="C150" t="s">
        <v>29</v>
      </c>
      <c r="D150">
        <v>26</v>
      </c>
      <c r="E150">
        <v>26</v>
      </c>
      <c r="F150">
        <v>0</v>
      </c>
      <c r="G150" t="s">
        <v>25</v>
      </c>
      <c r="H150" t="s">
        <v>58</v>
      </c>
      <c r="I150" t="s">
        <v>88</v>
      </c>
      <c r="J150" t="s">
        <v>16</v>
      </c>
      <c r="L150">
        <v>6</v>
      </c>
      <c r="M150" s="1">
        <v>45360</v>
      </c>
    </row>
    <row r="151" spans="1:13" x14ac:dyDescent="0.35">
      <c r="A151" t="s">
        <v>315</v>
      </c>
      <c r="B151" t="s">
        <v>316</v>
      </c>
      <c r="C151" t="s">
        <v>184</v>
      </c>
      <c r="D151">
        <v>9</v>
      </c>
      <c r="E151">
        <v>9</v>
      </c>
      <c r="F151">
        <v>0</v>
      </c>
      <c r="G151" t="s">
        <v>14</v>
      </c>
      <c r="H151" t="s">
        <v>99</v>
      </c>
      <c r="I151" t="s">
        <v>88</v>
      </c>
      <c r="J151" t="s">
        <v>26</v>
      </c>
      <c r="L151">
        <v>5</v>
      </c>
      <c r="M151" s="1">
        <v>45437</v>
      </c>
    </row>
    <row r="152" spans="1:13" x14ac:dyDescent="0.35">
      <c r="A152" t="s">
        <v>317</v>
      </c>
      <c r="B152" t="s">
        <v>318</v>
      </c>
      <c r="C152" t="s">
        <v>45</v>
      </c>
      <c r="D152">
        <v>33</v>
      </c>
      <c r="E152">
        <v>33</v>
      </c>
      <c r="F152">
        <v>0</v>
      </c>
      <c r="G152" t="s">
        <v>14</v>
      </c>
      <c r="H152" t="s">
        <v>32</v>
      </c>
      <c r="I152" t="s">
        <v>15</v>
      </c>
      <c r="J152" t="s">
        <v>26</v>
      </c>
      <c r="L152">
        <v>1</v>
      </c>
      <c r="M152" s="1">
        <v>45320</v>
      </c>
    </row>
    <row r="153" spans="1:13" x14ac:dyDescent="0.35">
      <c r="A153" t="s">
        <v>319</v>
      </c>
      <c r="B153" t="s">
        <v>283</v>
      </c>
      <c r="C153" t="s">
        <v>69</v>
      </c>
      <c r="D153">
        <v>24</v>
      </c>
      <c r="E153">
        <v>24</v>
      </c>
      <c r="F153">
        <v>0</v>
      </c>
      <c r="G153" t="s">
        <v>25</v>
      </c>
      <c r="H153" t="s">
        <v>32</v>
      </c>
      <c r="I153" t="s">
        <v>15</v>
      </c>
      <c r="J153" t="s">
        <v>40</v>
      </c>
      <c r="L153">
        <v>6</v>
      </c>
      <c r="M153" s="1">
        <v>45542</v>
      </c>
    </row>
    <row r="154" spans="1:13" x14ac:dyDescent="0.35">
      <c r="A154" t="s">
        <v>320</v>
      </c>
      <c r="B154" t="s">
        <v>321</v>
      </c>
      <c r="C154" t="s">
        <v>172</v>
      </c>
      <c r="D154">
        <v>29</v>
      </c>
      <c r="E154">
        <v>29</v>
      </c>
      <c r="F154">
        <v>0</v>
      </c>
      <c r="G154" t="s">
        <v>14</v>
      </c>
      <c r="H154" t="s">
        <v>19</v>
      </c>
      <c r="I154" t="s">
        <v>105</v>
      </c>
      <c r="J154" t="s">
        <v>16</v>
      </c>
      <c r="L154">
        <v>7</v>
      </c>
      <c r="M154" s="1">
        <v>45469</v>
      </c>
    </row>
    <row r="155" spans="1:13" x14ac:dyDescent="0.35">
      <c r="A155" t="s">
        <v>322</v>
      </c>
      <c r="B155" t="s">
        <v>323</v>
      </c>
      <c r="C155" t="s">
        <v>13</v>
      </c>
      <c r="D155">
        <v>22</v>
      </c>
      <c r="E155">
        <v>22</v>
      </c>
      <c r="F155">
        <v>0</v>
      </c>
      <c r="G155" t="s">
        <v>25</v>
      </c>
      <c r="H155" t="s">
        <v>99</v>
      </c>
      <c r="I155" t="s">
        <v>105</v>
      </c>
      <c r="J155" t="s">
        <v>20</v>
      </c>
      <c r="K155">
        <v>30000</v>
      </c>
      <c r="L155">
        <v>8</v>
      </c>
      <c r="M155" s="1">
        <v>45524</v>
      </c>
    </row>
    <row r="156" spans="1:13" x14ac:dyDescent="0.35">
      <c r="A156" t="s">
        <v>324</v>
      </c>
      <c r="B156" t="s">
        <v>325</v>
      </c>
      <c r="C156" t="s">
        <v>29</v>
      </c>
      <c r="D156">
        <v>55</v>
      </c>
      <c r="E156">
        <v>55</v>
      </c>
      <c r="F156">
        <v>0</v>
      </c>
      <c r="G156" t="s">
        <v>25</v>
      </c>
      <c r="H156" t="s">
        <v>32</v>
      </c>
      <c r="I156" t="s">
        <v>88</v>
      </c>
      <c r="J156" t="s">
        <v>40</v>
      </c>
      <c r="L156">
        <v>4</v>
      </c>
      <c r="M156" s="1">
        <v>45533</v>
      </c>
    </row>
    <row r="157" spans="1:13" x14ac:dyDescent="0.35">
      <c r="A157" t="s">
        <v>326</v>
      </c>
      <c r="B157" t="s">
        <v>104</v>
      </c>
      <c r="C157" t="s">
        <v>45</v>
      </c>
      <c r="D157">
        <v>26</v>
      </c>
      <c r="E157">
        <v>26</v>
      </c>
      <c r="F157">
        <v>0</v>
      </c>
      <c r="G157" t="s">
        <v>25</v>
      </c>
      <c r="H157" t="s">
        <v>99</v>
      </c>
      <c r="I157" t="s">
        <v>105</v>
      </c>
      <c r="J157" t="s">
        <v>40</v>
      </c>
      <c r="L157">
        <v>8</v>
      </c>
      <c r="M157" s="1">
        <v>45456</v>
      </c>
    </row>
    <row r="158" spans="1:13" x14ac:dyDescent="0.35">
      <c r="A158" t="s">
        <v>327</v>
      </c>
      <c r="B158" t="s">
        <v>328</v>
      </c>
      <c r="C158" t="s">
        <v>29</v>
      </c>
      <c r="D158">
        <v>47</v>
      </c>
      <c r="E158">
        <v>47</v>
      </c>
      <c r="F158">
        <v>0</v>
      </c>
      <c r="G158" t="s">
        <v>14</v>
      </c>
      <c r="H158" t="s">
        <v>32</v>
      </c>
      <c r="I158" t="s">
        <v>88</v>
      </c>
      <c r="J158" t="s">
        <v>26</v>
      </c>
      <c r="L158">
        <v>6</v>
      </c>
      <c r="M158" s="1">
        <v>45460</v>
      </c>
    </row>
    <row r="159" spans="1:13" x14ac:dyDescent="0.35">
      <c r="A159" t="s">
        <v>2155</v>
      </c>
      <c r="B159" t="s">
        <v>329</v>
      </c>
      <c r="C159" t="s">
        <v>172</v>
      </c>
      <c r="D159">
        <v>38</v>
      </c>
      <c r="E159">
        <v>38</v>
      </c>
      <c r="F159">
        <v>0</v>
      </c>
      <c r="G159" t="s">
        <v>14</v>
      </c>
      <c r="H159" t="s">
        <v>58</v>
      </c>
      <c r="I159" t="s">
        <v>2154</v>
      </c>
      <c r="J159" t="s">
        <v>40</v>
      </c>
      <c r="L159">
        <v>1</v>
      </c>
      <c r="M159" s="1">
        <v>45505</v>
      </c>
    </row>
    <row r="160" spans="1:13" x14ac:dyDescent="0.35">
      <c r="A160" t="s">
        <v>330</v>
      </c>
      <c r="B160" t="s">
        <v>114</v>
      </c>
      <c r="C160" t="s">
        <v>45</v>
      </c>
      <c r="D160">
        <v>33</v>
      </c>
      <c r="E160">
        <v>33</v>
      </c>
      <c r="F160">
        <v>0</v>
      </c>
      <c r="G160" t="s">
        <v>14</v>
      </c>
      <c r="H160" t="s">
        <v>32</v>
      </c>
      <c r="I160" t="s">
        <v>15</v>
      </c>
      <c r="J160" t="s">
        <v>26</v>
      </c>
      <c r="L160">
        <v>1</v>
      </c>
      <c r="M160" s="1">
        <v>45442</v>
      </c>
    </row>
    <row r="161" spans="1:13" x14ac:dyDescent="0.35">
      <c r="A161" t="s">
        <v>331</v>
      </c>
      <c r="B161" t="s">
        <v>332</v>
      </c>
      <c r="C161" t="s">
        <v>13</v>
      </c>
      <c r="D161">
        <v>41</v>
      </c>
      <c r="E161">
        <v>41</v>
      </c>
      <c r="F161">
        <v>0</v>
      </c>
      <c r="G161" t="s">
        <v>14</v>
      </c>
      <c r="H161" t="s">
        <v>58</v>
      </c>
      <c r="I161" t="s">
        <v>15</v>
      </c>
      <c r="J161" t="s">
        <v>26</v>
      </c>
      <c r="L161">
        <v>2</v>
      </c>
      <c r="M161" s="1">
        <v>45437</v>
      </c>
    </row>
    <row r="162" spans="1:13" x14ac:dyDescent="0.35">
      <c r="A162" t="s">
        <v>333</v>
      </c>
      <c r="B162" t="s">
        <v>334</v>
      </c>
      <c r="C162" t="s">
        <v>119</v>
      </c>
      <c r="D162">
        <v>31</v>
      </c>
      <c r="E162">
        <v>31</v>
      </c>
      <c r="F162">
        <v>0</v>
      </c>
      <c r="G162" t="s">
        <v>25</v>
      </c>
      <c r="H162" t="s">
        <v>32</v>
      </c>
      <c r="I162" t="s">
        <v>105</v>
      </c>
      <c r="J162" t="s">
        <v>40</v>
      </c>
      <c r="L162">
        <v>3</v>
      </c>
      <c r="M162" s="1">
        <v>45300</v>
      </c>
    </row>
    <row r="163" spans="1:13" x14ac:dyDescent="0.35">
      <c r="A163" t="s">
        <v>2156</v>
      </c>
      <c r="B163" t="s">
        <v>335</v>
      </c>
      <c r="C163" t="s">
        <v>69</v>
      </c>
      <c r="D163">
        <v>11</v>
      </c>
      <c r="E163">
        <v>11</v>
      </c>
      <c r="F163">
        <v>0</v>
      </c>
      <c r="G163" t="s">
        <v>14</v>
      </c>
      <c r="H163" t="s">
        <v>99</v>
      </c>
      <c r="I163" t="s">
        <v>105</v>
      </c>
      <c r="J163" t="s">
        <v>26</v>
      </c>
      <c r="L163">
        <v>7</v>
      </c>
      <c r="M163" s="1">
        <v>45582</v>
      </c>
    </row>
    <row r="164" spans="1:13" x14ac:dyDescent="0.35">
      <c r="A164" t="s">
        <v>336</v>
      </c>
      <c r="B164" t="s">
        <v>307</v>
      </c>
      <c r="C164" t="s">
        <v>130</v>
      </c>
      <c r="D164">
        <v>31</v>
      </c>
      <c r="E164">
        <v>31</v>
      </c>
      <c r="F164">
        <v>0</v>
      </c>
      <c r="G164" t="s">
        <v>14</v>
      </c>
      <c r="H164" t="s">
        <v>58</v>
      </c>
      <c r="I164" t="s">
        <v>105</v>
      </c>
      <c r="J164" t="s">
        <v>16</v>
      </c>
      <c r="L164">
        <v>8</v>
      </c>
      <c r="M164" s="1">
        <v>45313</v>
      </c>
    </row>
    <row r="165" spans="1:13" x14ac:dyDescent="0.35">
      <c r="A165" t="s">
        <v>337</v>
      </c>
      <c r="B165" t="s">
        <v>338</v>
      </c>
      <c r="C165" t="s">
        <v>29</v>
      </c>
      <c r="D165">
        <v>54</v>
      </c>
      <c r="E165">
        <v>54</v>
      </c>
      <c r="F165">
        <v>0</v>
      </c>
      <c r="G165" t="s">
        <v>25</v>
      </c>
      <c r="H165" t="s">
        <v>32</v>
      </c>
      <c r="I165" t="s">
        <v>15</v>
      </c>
      <c r="J165" t="s">
        <v>37</v>
      </c>
      <c r="K165">
        <v>42191</v>
      </c>
      <c r="L165">
        <v>9</v>
      </c>
      <c r="M165" s="1">
        <v>45495</v>
      </c>
    </row>
    <row r="166" spans="1:13" x14ac:dyDescent="0.35">
      <c r="A166" t="s">
        <v>339</v>
      </c>
      <c r="B166" t="s">
        <v>340</v>
      </c>
      <c r="C166" t="s">
        <v>130</v>
      </c>
      <c r="D166">
        <v>60</v>
      </c>
      <c r="E166">
        <v>60</v>
      </c>
      <c r="F166">
        <v>0</v>
      </c>
      <c r="G166" t="s">
        <v>25</v>
      </c>
      <c r="H166" t="s">
        <v>99</v>
      </c>
      <c r="I166" t="s">
        <v>88</v>
      </c>
      <c r="J166" t="s">
        <v>26</v>
      </c>
      <c r="L166">
        <v>7</v>
      </c>
      <c r="M166" s="1">
        <v>45452</v>
      </c>
    </row>
    <row r="167" spans="1:13" x14ac:dyDescent="0.35">
      <c r="A167" t="s">
        <v>341</v>
      </c>
      <c r="B167" t="s">
        <v>342</v>
      </c>
      <c r="C167" t="s">
        <v>130</v>
      </c>
      <c r="D167">
        <v>51</v>
      </c>
      <c r="E167">
        <v>51</v>
      </c>
      <c r="F167">
        <v>0</v>
      </c>
      <c r="G167" t="s">
        <v>14</v>
      </c>
      <c r="H167" t="s">
        <v>58</v>
      </c>
      <c r="I167" t="s">
        <v>15</v>
      </c>
      <c r="J167" t="s">
        <v>26</v>
      </c>
      <c r="L167">
        <v>6</v>
      </c>
      <c r="M167" s="1">
        <v>45483</v>
      </c>
    </row>
    <row r="168" spans="1:13" x14ac:dyDescent="0.35">
      <c r="A168" t="s">
        <v>343</v>
      </c>
      <c r="B168" t="s">
        <v>225</v>
      </c>
      <c r="C168" t="s">
        <v>13</v>
      </c>
      <c r="D168">
        <v>64</v>
      </c>
      <c r="E168">
        <v>64</v>
      </c>
      <c r="F168">
        <v>0</v>
      </c>
      <c r="G168" t="s">
        <v>14</v>
      </c>
      <c r="H168" t="s">
        <v>19</v>
      </c>
      <c r="I168" t="s">
        <v>88</v>
      </c>
      <c r="J168" t="s">
        <v>40</v>
      </c>
      <c r="L168">
        <v>9</v>
      </c>
      <c r="M168" s="1">
        <v>45385</v>
      </c>
    </row>
    <row r="169" spans="1:13" x14ac:dyDescent="0.35">
      <c r="A169" t="s">
        <v>344</v>
      </c>
      <c r="B169" t="s">
        <v>158</v>
      </c>
      <c r="C169" t="s">
        <v>154</v>
      </c>
      <c r="D169">
        <v>48</v>
      </c>
      <c r="E169">
        <v>48</v>
      </c>
      <c r="F169">
        <v>0</v>
      </c>
      <c r="G169" t="s">
        <v>14</v>
      </c>
      <c r="H169" t="s">
        <v>58</v>
      </c>
      <c r="I169" t="s">
        <v>105</v>
      </c>
      <c r="J169" t="s">
        <v>40</v>
      </c>
      <c r="L169">
        <v>4</v>
      </c>
      <c r="M169" s="1">
        <v>45458</v>
      </c>
    </row>
    <row r="170" spans="1:13" x14ac:dyDescent="0.35">
      <c r="A170" t="s">
        <v>345</v>
      </c>
      <c r="B170" t="s">
        <v>346</v>
      </c>
      <c r="C170" t="s">
        <v>154</v>
      </c>
      <c r="D170">
        <v>46</v>
      </c>
      <c r="E170">
        <v>46</v>
      </c>
      <c r="F170">
        <v>0</v>
      </c>
      <c r="G170" t="s">
        <v>14</v>
      </c>
      <c r="H170" t="s">
        <v>32</v>
      </c>
      <c r="I170" t="s">
        <v>15</v>
      </c>
      <c r="J170" t="s">
        <v>16</v>
      </c>
      <c r="L170">
        <v>5</v>
      </c>
      <c r="M170" s="1">
        <v>45576</v>
      </c>
    </row>
    <row r="171" spans="1:13" x14ac:dyDescent="0.35">
      <c r="A171" t="s">
        <v>347</v>
      </c>
      <c r="B171" t="s">
        <v>363</v>
      </c>
      <c r="C171" t="s">
        <v>130</v>
      </c>
      <c r="D171">
        <v>53</v>
      </c>
      <c r="E171">
        <v>53</v>
      </c>
      <c r="F171">
        <v>0</v>
      </c>
      <c r="G171" t="s">
        <v>25</v>
      </c>
      <c r="H171" t="s">
        <v>58</v>
      </c>
      <c r="I171" t="s">
        <v>2153</v>
      </c>
      <c r="J171" t="s">
        <v>20</v>
      </c>
      <c r="K171">
        <v>55191</v>
      </c>
      <c r="L171">
        <v>2</v>
      </c>
      <c r="M171" s="1">
        <v>45506</v>
      </c>
    </row>
    <row r="172" spans="1:13" x14ac:dyDescent="0.35">
      <c r="A172" t="s">
        <v>348</v>
      </c>
      <c r="B172" t="s">
        <v>349</v>
      </c>
      <c r="C172" t="s">
        <v>13</v>
      </c>
      <c r="D172">
        <v>29</v>
      </c>
      <c r="E172">
        <v>29</v>
      </c>
      <c r="F172">
        <v>0</v>
      </c>
      <c r="G172" t="s">
        <v>14</v>
      </c>
      <c r="H172" t="s">
        <v>58</v>
      </c>
      <c r="I172" t="s">
        <v>105</v>
      </c>
      <c r="J172" t="s">
        <v>37</v>
      </c>
      <c r="K172">
        <v>77294</v>
      </c>
      <c r="L172">
        <v>6</v>
      </c>
      <c r="M172" s="1">
        <v>45394</v>
      </c>
    </row>
    <row r="173" spans="1:13" x14ac:dyDescent="0.35">
      <c r="A173" t="s">
        <v>350</v>
      </c>
      <c r="B173" t="s">
        <v>351</v>
      </c>
      <c r="C173" t="s">
        <v>13</v>
      </c>
      <c r="D173">
        <v>24</v>
      </c>
      <c r="E173">
        <v>24</v>
      </c>
      <c r="F173">
        <v>0</v>
      </c>
      <c r="G173" t="s">
        <v>25</v>
      </c>
      <c r="H173" t="s">
        <v>58</v>
      </c>
      <c r="I173" t="s">
        <v>105</v>
      </c>
      <c r="J173" t="s">
        <v>26</v>
      </c>
      <c r="L173">
        <v>1</v>
      </c>
      <c r="M173" s="1">
        <v>45580</v>
      </c>
    </row>
    <row r="174" spans="1:13" x14ac:dyDescent="0.35">
      <c r="A174" t="s">
        <v>352</v>
      </c>
      <c r="B174" t="s">
        <v>353</v>
      </c>
      <c r="C174" t="s">
        <v>29</v>
      </c>
      <c r="D174">
        <v>52</v>
      </c>
      <c r="E174">
        <v>52</v>
      </c>
      <c r="F174">
        <v>0</v>
      </c>
      <c r="G174" t="s">
        <v>25</v>
      </c>
      <c r="H174" t="s">
        <v>99</v>
      </c>
      <c r="I174" t="s">
        <v>88</v>
      </c>
      <c r="J174" t="s">
        <v>26</v>
      </c>
      <c r="L174">
        <v>7</v>
      </c>
      <c r="M174" s="1">
        <v>45365</v>
      </c>
    </row>
    <row r="175" spans="1:13" x14ac:dyDescent="0.35">
      <c r="A175" t="s">
        <v>354</v>
      </c>
      <c r="B175" t="s">
        <v>355</v>
      </c>
      <c r="C175" t="s">
        <v>184</v>
      </c>
      <c r="D175">
        <v>47</v>
      </c>
      <c r="E175">
        <v>47</v>
      </c>
      <c r="F175">
        <v>0</v>
      </c>
      <c r="G175" t="s">
        <v>14</v>
      </c>
      <c r="H175" t="s">
        <v>99</v>
      </c>
      <c r="I175" t="s">
        <v>88</v>
      </c>
      <c r="J175" t="s">
        <v>40</v>
      </c>
      <c r="L175">
        <v>9</v>
      </c>
      <c r="M175" s="1">
        <v>45343</v>
      </c>
    </row>
    <row r="176" spans="1:13" x14ac:dyDescent="0.35">
      <c r="A176" t="s">
        <v>356</v>
      </c>
      <c r="B176" t="s">
        <v>357</v>
      </c>
      <c r="C176" t="s">
        <v>172</v>
      </c>
      <c r="D176">
        <v>47</v>
      </c>
      <c r="E176">
        <v>47</v>
      </c>
      <c r="F176">
        <v>0</v>
      </c>
      <c r="G176" t="s">
        <v>25</v>
      </c>
      <c r="H176" t="s">
        <v>32</v>
      </c>
      <c r="I176" t="s">
        <v>105</v>
      </c>
      <c r="J176" t="s">
        <v>37</v>
      </c>
      <c r="K176">
        <v>59709</v>
      </c>
      <c r="L176">
        <v>7</v>
      </c>
      <c r="M176" s="1">
        <v>45538</v>
      </c>
    </row>
    <row r="177" spans="1:13" x14ac:dyDescent="0.35">
      <c r="A177" t="s">
        <v>358</v>
      </c>
      <c r="B177" t="s">
        <v>359</v>
      </c>
      <c r="C177" t="s">
        <v>29</v>
      </c>
      <c r="D177">
        <v>16</v>
      </c>
      <c r="E177">
        <v>16</v>
      </c>
      <c r="F177">
        <v>0</v>
      </c>
      <c r="G177" t="s">
        <v>14</v>
      </c>
      <c r="H177" t="s">
        <v>19</v>
      </c>
      <c r="I177" t="s">
        <v>2153</v>
      </c>
      <c r="J177" t="s">
        <v>26</v>
      </c>
      <c r="L177">
        <v>3</v>
      </c>
      <c r="M177" s="1">
        <v>45516</v>
      </c>
    </row>
    <row r="178" spans="1:13" x14ac:dyDescent="0.35">
      <c r="A178" t="s">
        <v>360</v>
      </c>
      <c r="B178" t="s">
        <v>361</v>
      </c>
      <c r="C178" t="s">
        <v>117</v>
      </c>
      <c r="D178">
        <v>29</v>
      </c>
      <c r="E178">
        <v>29</v>
      </c>
      <c r="F178">
        <v>0</v>
      </c>
      <c r="G178" t="s">
        <v>25</v>
      </c>
      <c r="H178" t="s">
        <v>32</v>
      </c>
      <c r="I178" t="s">
        <v>15</v>
      </c>
      <c r="J178" t="s">
        <v>16</v>
      </c>
      <c r="L178">
        <v>3</v>
      </c>
      <c r="M178" s="1">
        <v>45442</v>
      </c>
    </row>
    <row r="179" spans="1:13" x14ac:dyDescent="0.35">
      <c r="A179" t="s">
        <v>362</v>
      </c>
      <c r="B179" t="s">
        <v>363</v>
      </c>
      <c r="C179" t="s">
        <v>119</v>
      </c>
      <c r="D179">
        <v>66</v>
      </c>
      <c r="E179">
        <v>66</v>
      </c>
      <c r="F179">
        <v>0</v>
      </c>
      <c r="G179" t="s">
        <v>25</v>
      </c>
      <c r="H179" t="s">
        <v>58</v>
      </c>
      <c r="I179" t="s">
        <v>105</v>
      </c>
      <c r="J179" t="s">
        <v>20</v>
      </c>
      <c r="K179">
        <v>30000</v>
      </c>
      <c r="L179">
        <v>2</v>
      </c>
      <c r="M179" s="1">
        <v>45490</v>
      </c>
    </row>
    <row r="180" spans="1:13" x14ac:dyDescent="0.35">
      <c r="A180" t="s">
        <v>364</v>
      </c>
      <c r="B180" t="s">
        <v>365</v>
      </c>
      <c r="C180" t="s">
        <v>45</v>
      </c>
      <c r="D180">
        <v>4</v>
      </c>
      <c r="E180">
        <v>4</v>
      </c>
      <c r="F180">
        <v>0</v>
      </c>
      <c r="G180" t="s">
        <v>14</v>
      </c>
      <c r="H180" t="s">
        <v>99</v>
      </c>
      <c r="I180" t="s">
        <v>15</v>
      </c>
      <c r="J180" t="s">
        <v>26</v>
      </c>
      <c r="L180">
        <v>4</v>
      </c>
      <c r="M180" s="1">
        <v>45483</v>
      </c>
    </row>
    <row r="181" spans="1:13" x14ac:dyDescent="0.35">
      <c r="A181" t="s">
        <v>366</v>
      </c>
      <c r="B181" t="s">
        <v>367</v>
      </c>
      <c r="C181" t="s">
        <v>130</v>
      </c>
      <c r="D181">
        <v>15</v>
      </c>
      <c r="E181">
        <v>15</v>
      </c>
      <c r="F181">
        <v>0</v>
      </c>
      <c r="G181" t="s">
        <v>14</v>
      </c>
      <c r="H181" t="s">
        <v>19</v>
      </c>
      <c r="I181" t="s">
        <v>15</v>
      </c>
      <c r="J181" t="s">
        <v>20</v>
      </c>
      <c r="K181">
        <v>70259</v>
      </c>
      <c r="L181">
        <v>5</v>
      </c>
      <c r="M181" s="1">
        <v>45527</v>
      </c>
    </row>
    <row r="182" spans="1:13" x14ac:dyDescent="0.35">
      <c r="A182" t="s">
        <v>368</v>
      </c>
      <c r="B182" t="s">
        <v>287</v>
      </c>
      <c r="C182" t="s">
        <v>172</v>
      </c>
      <c r="D182">
        <v>41</v>
      </c>
      <c r="E182">
        <v>41</v>
      </c>
      <c r="F182">
        <v>0</v>
      </c>
      <c r="G182" t="s">
        <v>14</v>
      </c>
      <c r="H182" t="s">
        <v>58</v>
      </c>
      <c r="I182" t="s">
        <v>88</v>
      </c>
      <c r="J182" t="s">
        <v>26</v>
      </c>
      <c r="L182">
        <v>3</v>
      </c>
      <c r="M182" s="1">
        <v>45305</v>
      </c>
    </row>
    <row r="183" spans="1:13" x14ac:dyDescent="0.35">
      <c r="A183" t="s">
        <v>369</v>
      </c>
      <c r="B183" t="s">
        <v>370</v>
      </c>
      <c r="C183" t="s">
        <v>172</v>
      </c>
      <c r="D183">
        <v>27</v>
      </c>
      <c r="E183">
        <v>27</v>
      </c>
      <c r="F183">
        <v>0</v>
      </c>
      <c r="G183" t="s">
        <v>25</v>
      </c>
      <c r="H183" t="s">
        <v>99</v>
      </c>
      <c r="I183" t="s">
        <v>15</v>
      </c>
      <c r="J183" t="s">
        <v>26</v>
      </c>
      <c r="L183">
        <v>2</v>
      </c>
      <c r="M183" s="1">
        <v>45478</v>
      </c>
    </row>
    <row r="184" spans="1:13" x14ac:dyDescent="0.35">
      <c r="A184" t="s">
        <v>371</v>
      </c>
      <c r="B184" t="s">
        <v>372</v>
      </c>
      <c r="C184" t="s">
        <v>172</v>
      </c>
      <c r="D184">
        <v>13</v>
      </c>
      <c r="E184">
        <v>13</v>
      </c>
      <c r="F184">
        <v>0</v>
      </c>
      <c r="G184" t="s">
        <v>25</v>
      </c>
      <c r="H184" t="s">
        <v>99</v>
      </c>
      <c r="I184" t="s">
        <v>2154</v>
      </c>
      <c r="J184" t="s">
        <v>26</v>
      </c>
      <c r="L184">
        <v>1</v>
      </c>
      <c r="M184" s="1">
        <v>45495</v>
      </c>
    </row>
    <row r="185" spans="1:13" x14ac:dyDescent="0.35">
      <c r="A185" t="s">
        <v>373</v>
      </c>
      <c r="B185" t="s">
        <v>374</v>
      </c>
      <c r="C185" t="s">
        <v>69</v>
      </c>
      <c r="D185">
        <v>23</v>
      </c>
      <c r="E185">
        <v>23</v>
      </c>
      <c r="F185">
        <v>0</v>
      </c>
      <c r="G185" t="s">
        <v>14</v>
      </c>
      <c r="H185" t="s">
        <v>19</v>
      </c>
      <c r="I185" t="s">
        <v>2154</v>
      </c>
      <c r="J185" t="s">
        <v>26</v>
      </c>
      <c r="L185">
        <v>3</v>
      </c>
      <c r="M185" s="1">
        <v>45429</v>
      </c>
    </row>
    <row r="186" spans="1:13" x14ac:dyDescent="0.35">
      <c r="A186" t="s">
        <v>375</v>
      </c>
      <c r="B186" t="s">
        <v>332</v>
      </c>
      <c r="C186" t="s">
        <v>117</v>
      </c>
      <c r="D186">
        <v>30</v>
      </c>
      <c r="E186">
        <v>30</v>
      </c>
      <c r="F186">
        <v>0</v>
      </c>
      <c r="G186" t="s">
        <v>14</v>
      </c>
      <c r="H186" t="s">
        <v>19</v>
      </c>
      <c r="I186" t="s">
        <v>88</v>
      </c>
      <c r="J186" t="s">
        <v>20</v>
      </c>
      <c r="K186">
        <v>32812</v>
      </c>
      <c r="L186">
        <v>8</v>
      </c>
      <c r="M186" s="1">
        <v>45322</v>
      </c>
    </row>
    <row r="187" spans="1:13" x14ac:dyDescent="0.35">
      <c r="A187" t="s">
        <v>376</v>
      </c>
      <c r="B187" t="s">
        <v>377</v>
      </c>
      <c r="C187" t="s">
        <v>29</v>
      </c>
      <c r="D187">
        <v>35</v>
      </c>
      <c r="F187">
        <v>1</v>
      </c>
      <c r="G187" t="s">
        <v>14</v>
      </c>
      <c r="H187" t="s">
        <v>19</v>
      </c>
      <c r="I187" t="s">
        <v>15</v>
      </c>
      <c r="J187" t="s">
        <v>37</v>
      </c>
      <c r="K187">
        <v>55526</v>
      </c>
      <c r="L187">
        <v>1</v>
      </c>
      <c r="M187" s="1">
        <v>45356</v>
      </c>
    </row>
    <row r="188" spans="1:13" x14ac:dyDescent="0.35">
      <c r="A188" t="s">
        <v>378</v>
      </c>
      <c r="B188" t="s">
        <v>379</v>
      </c>
      <c r="C188" t="s">
        <v>29</v>
      </c>
      <c r="D188">
        <v>38</v>
      </c>
      <c r="E188">
        <v>38</v>
      </c>
      <c r="F188">
        <v>0</v>
      </c>
      <c r="G188" t="s">
        <v>25</v>
      </c>
      <c r="H188" t="s">
        <v>32</v>
      </c>
      <c r="I188" t="s">
        <v>15</v>
      </c>
      <c r="J188" t="s">
        <v>40</v>
      </c>
      <c r="L188">
        <v>2</v>
      </c>
      <c r="M188" s="1">
        <v>45354</v>
      </c>
    </row>
    <row r="189" spans="1:13" x14ac:dyDescent="0.35">
      <c r="A189" t="s">
        <v>380</v>
      </c>
      <c r="B189" t="s">
        <v>381</v>
      </c>
      <c r="C189" t="s">
        <v>117</v>
      </c>
      <c r="D189">
        <v>29</v>
      </c>
      <c r="E189">
        <v>29</v>
      </c>
      <c r="F189">
        <v>0</v>
      </c>
      <c r="G189" t="s">
        <v>25</v>
      </c>
      <c r="H189" t="s">
        <v>19</v>
      </c>
      <c r="I189" t="s">
        <v>2153</v>
      </c>
      <c r="J189" t="s">
        <v>20</v>
      </c>
      <c r="K189">
        <v>54234</v>
      </c>
      <c r="L189">
        <v>4</v>
      </c>
      <c r="M189" s="1">
        <v>45483</v>
      </c>
    </row>
    <row r="190" spans="1:13" x14ac:dyDescent="0.35">
      <c r="A190" t="s">
        <v>382</v>
      </c>
      <c r="B190" t="s">
        <v>383</v>
      </c>
      <c r="C190" t="s">
        <v>119</v>
      </c>
      <c r="D190">
        <v>44</v>
      </c>
      <c r="E190">
        <v>44</v>
      </c>
      <c r="F190">
        <v>0</v>
      </c>
      <c r="G190" t="s">
        <v>14</v>
      </c>
      <c r="H190" t="s">
        <v>58</v>
      </c>
      <c r="I190" t="s">
        <v>88</v>
      </c>
      <c r="J190" t="s">
        <v>40</v>
      </c>
      <c r="L190">
        <v>8</v>
      </c>
      <c r="M190" s="1">
        <v>45303</v>
      </c>
    </row>
    <row r="191" spans="1:13" x14ac:dyDescent="0.35">
      <c r="A191" t="s">
        <v>384</v>
      </c>
      <c r="B191" t="s">
        <v>385</v>
      </c>
      <c r="C191" t="s">
        <v>154</v>
      </c>
      <c r="D191">
        <v>58</v>
      </c>
      <c r="E191">
        <v>58</v>
      </c>
      <c r="F191">
        <v>0</v>
      </c>
      <c r="G191" t="s">
        <v>25</v>
      </c>
      <c r="H191" t="s">
        <v>32</v>
      </c>
      <c r="I191" t="s">
        <v>15</v>
      </c>
      <c r="J191" t="s">
        <v>37</v>
      </c>
      <c r="K191">
        <v>64351</v>
      </c>
      <c r="L191">
        <v>8</v>
      </c>
      <c r="M191" s="1">
        <v>45568</v>
      </c>
    </row>
    <row r="192" spans="1:13" x14ac:dyDescent="0.35">
      <c r="A192" t="s">
        <v>386</v>
      </c>
      <c r="B192" t="s">
        <v>387</v>
      </c>
      <c r="C192" t="s">
        <v>117</v>
      </c>
      <c r="D192">
        <v>24</v>
      </c>
      <c r="E192">
        <v>24</v>
      </c>
      <c r="F192">
        <v>0</v>
      </c>
      <c r="G192" t="s">
        <v>14</v>
      </c>
      <c r="H192" t="s">
        <v>58</v>
      </c>
      <c r="I192" t="s">
        <v>15</v>
      </c>
      <c r="J192" t="s">
        <v>20</v>
      </c>
      <c r="K192">
        <v>45233</v>
      </c>
      <c r="L192">
        <v>1</v>
      </c>
      <c r="M192" s="1">
        <v>45429</v>
      </c>
    </row>
    <row r="193" spans="1:13" x14ac:dyDescent="0.35">
      <c r="A193" t="s">
        <v>388</v>
      </c>
      <c r="B193" t="s">
        <v>389</v>
      </c>
      <c r="C193" t="s">
        <v>172</v>
      </c>
      <c r="D193">
        <v>17</v>
      </c>
      <c r="E193">
        <v>17</v>
      </c>
      <c r="F193">
        <v>0</v>
      </c>
      <c r="G193" t="s">
        <v>14</v>
      </c>
      <c r="H193" t="s">
        <v>32</v>
      </c>
      <c r="I193" t="s">
        <v>15</v>
      </c>
      <c r="J193" t="s">
        <v>20</v>
      </c>
      <c r="K193">
        <v>30000</v>
      </c>
      <c r="L193">
        <v>2</v>
      </c>
      <c r="M193" s="1">
        <v>45502</v>
      </c>
    </row>
    <row r="194" spans="1:13" x14ac:dyDescent="0.35">
      <c r="A194" t="s">
        <v>390</v>
      </c>
      <c r="B194" t="s">
        <v>391</v>
      </c>
      <c r="C194" t="s">
        <v>154</v>
      </c>
      <c r="D194">
        <v>21</v>
      </c>
      <c r="E194">
        <v>21</v>
      </c>
      <c r="F194">
        <v>0</v>
      </c>
      <c r="G194" t="s">
        <v>25</v>
      </c>
      <c r="H194" t="s">
        <v>32</v>
      </c>
      <c r="I194" t="s">
        <v>15</v>
      </c>
      <c r="J194" t="s">
        <v>40</v>
      </c>
      <c r="L194">
        <v>6</v>
      </c>
      <c r="M194" s="1">
        <v>45312</v>
      </c>
    </row>
    <row r="195" spans="1:13" x14ac:dyDescent="0.35">
      <c r="A195" t="s">
        <v>392</v>
      </c>
      <c r="B195" t="s">
        <v>393</v>
      </c>
      <c r="C195" t="s">
        <v>13</v>
      </c>
      <c r="D195">
        <v>17</v>
      </c>
      <c r="E195">
        <v>17</v>
      </c>
      <c r="F195">
        <v>0</v>
      </c>
      <c r="G195" t="s">
        <v>14</v>
      </c>
      <c r="H195" t="s">
        <v>58</v>
      </c>
      <c r="I195" t="s">
        <v>88</v>
      </c>
      <c r="J195" t="s">
        <v>26</v>
      </c>
      <c r="L195">
        <v>6</v>
      </c>
      <c r="M195" s="1">
        <v>45467</v>
      </c>
    </row>
    <row r="196" spans="1:13" x14ac:dyDescent="0.35">
      <c r="A196" t="s">
        <v>394</v>
      </c>
      <c r="B196" t="s">
        <v>83</v>
      </c>
      <c r="C196" t="s">
        <v>172</v>
      </c>
      <c r="D196">
        <v>25</v>
      </c>
      <c r="E196">
        <v>25</v>
      </c>
      <c r="F196">
        <v>0</v>
      </c>
      <c r="G196" t="s">
        <v>25</v>
      </c>
      <c r="H196" t="s">
        <v>19</v>
      </c>
      <c r="I196" t="s">
        <v>15</v>
      </c>
      <c r="J196" t="s">
        <v>16</v>
      </c>
      <c r="L196">
        <v>8</v>
      </c>
      <c r="M196" s="1">
        <v>45584</v>
      </c>
    </row>
    <row r="197" spans="1:13" x14ac:dyDescent="0.35">
      <c r="A197" t="s">
        <v>395</v>
      </c>
      <c r="B197" t="s">
        <v>396</v>
      </c>
      <c r="C197" t="s">
        <v>45</v>
      </c>
      <c r="D197">
        <v>38</v>
      </c>
      <c r="E197">
        <v>38</v>
      </c>
      <c r="F197">
        <v>0</v>
      </c>
      <c r="G197" t="s">
        <v>25</v>
      </c>
      <c r="H197" t="s">
        <v>99</v>
      </c>
      <c r="I197" t="s">
        <v>88</v>
      </c>
      <c r="J197" t="s">
        <v>26</v>
      </c>
      <c r="L197">
        <v>1</v>
      </c>
      <c r="M197" s="1">
        <v>45431</v>
      </c>
    </row>
    <row r="198" spans="1:13" x14ac:dyDescent="0.35">
      <c r="A198" t="s">
        <v>397</v>
      </c>
      <c r="B198" t="s">
        <v>398</v>
      </c>
      <c r="C198" t="s">
        <v>29</v>
      </c>
      <c r="D198">
        <v>36</v>
      </c>
      <c r="E198">
        <v>36</v>
      </c>
      <c r="F198">
        <v>0</v>
      </c>
      <c r="G198" t="s">
        <v>25</v>
      </c>
      <c r="H198" t="s">
        <v>19</v>
      </c>
      <c r="I198" t="s">
        <v>15</v>
      </c>
      <c r="J198" t="s">
        <v>26</v>
      </c>
      <c r="L198">
        <v>9</v>
      </c>
      <c r="M198" s="1">
        <v>45469</v>
      </c>
    </row>
    <row r="199" spans="1:13" x14ac:dyDescent="0.35">
      <c r="A199" t="s">
        <v>399</v>
      </c>
      <c r="B199" t="s">
        <v>400</v>
      </c>
      <c r="C199" t="s">
        <v>184</v>
      </c>
      <c r="D199">
        <v>1</v>
      </c>
      <c r="E199">
        <v>1</v>
      </c>
      <c r="F199">
        <v>0</v>
      </c>
      <c r="G199" t="s">
        <v>25</v>
      </c>
      <c r="H199" t="s">
        <v>99</v>
      </c>
      <c r="I199" t="s">
        <v>105</v>
      </c>
      <c r="J199" t="s">
        <v>26</v>
      </c>
      <c r="L199">
        <v>8</v>
      </c>
      <c r="M199" s="1">
        <v>45438</v>
      </c>
    </row>
    <row r="200" spans="1:13" x14ac:dyDescent="0.35">
      <c r="A200" t="s">
        <v>401</v>
      </c>
      <c r="B200" t="s">
        <v>402</v>
      </c>
      <c r="C200" t="s">
        <v>69</v>
      </c>
      <c r="D200">
        <v>11</v>
      </c>
      <c r="E200">
        <v>11</v>
      </c>
      <c r="F200">
        <v>0</v>
      </c>
      <c r="G200" t="s">
        <v>25</v>
      </c>
      <c r="H200" t="s">
        <v>99</v>
      </c>
      <c r="I200" t="s">
        <v>105</v>
      </c>
      <c r="J200" t="s">
        <v>26</v>
      </c>
      <c r="L200">
        <v>6</v>
      </c>
      <c r="M200" s="1">
        <v>45554</v>
      </c>
    </row>
    <row r="201" spans="1:13" x14ac:dyDescent="0.35">
      <c r="A201" t="s">
        <v>403</v>
      </c>
      <c r="B201" t="s">
        <v>404</v>
      </c>
      <c r="C201" t="s">
        <v>29</v>
      </c>
      <c r="D201">
        <v>40</v>
      </c>
      <c r="E201">
        <v>40</v>
      </c>
      <c r="F201">
        <v>0</v>
      </c>
      <c r="G201" t="s">
        <v>14</v>
      </c>
      <c r="H201" t="s">
        <v>19</v>
      </c>
      <c r="I201" t="s">
        <v>105</v>
      </c>
      <c r="J201" t="s">
        <v>37</v>
      </c>
      <c r="K201">
        <v>36270</v>
      </c>
      <c r="L201">
        <v>1</v>
      </c>
      <c r="M201" s="1">
        <v>45557</v>
      </c>
    </row>
    <row r="202" spans="1:13" x14ac:dyDescent="0.35">
      <c r="A202" t="s">
        <v>405</v>
      </c>
      <c r="B202" t="s">
        <v>406</v>
      </c>
      <c r="C202" t="s">
        <v>154</v>
      </c>
      <c r="D202">
        <v>24</v>
      </c>
      <c r="E202">
        <v>24</v>
      </c>
      <c r="F202">
        <v>0</v>
      </c>
      <c r="G202" t="s">
        <v>14</v>
      </c>
      <c r="H202" t="s">
        <v>58</v>
      </c>
      <c r="I202" t="s">
        <v>2154</v>
      </c>
      <c r="J202" t="s">
        <v>20</v>
      </c>
      <c r="K202">
        <v>47943</v>
      </c>
      <c r="L202">
        <v>7</v>
      </c>
      <c r="M202" s="1">
        <v>45457</v>
      </c>
    </row>
    <row r="203" spans="1:13" x14ac:dyDescent="0.35">
      <c r="A203" t="s">
        <v>407</v>
      </c>
      <c r="B203" t="s">
        <v>408</v>
      </c>
      <c r="C203" t="s">
        <v>69</v>
      </c>
      <c r="D203">
        <v>39</v>
      </c>
      <c r="E203">
        <v>39</v>
      </c>
      <c r="F203">
        <v>0</v>
      </c>
      <c r="G203" t="s">
        <v>25</v>
      </c>
      <c r="H203" t="s">
        <v>32</v>
      </c>
      <c r="I203" t="s">
        <v>15</v>
      </c>
      <c r="J203" t="s">
        <v>16</v>
      </c>
      <c r="L203">
        <v>7</v>
      </c>
      <c r="M203" s="1">
        <v>45358</v>
      </c>
    </row>
    <row r="204" spans="1:13" x14ac:dyDescent="0.35">
      <c r="A204" t="s">
        <v>409</v>
      </c>
      <c r="B204" t="s">
        <v>410</v>
      </c>
      <c r="C204" t="s">
        <v>172</v>
      </c>
      <c r="D204">
        <v>27</v>
      </c>
      <c r="E204">
        <v>27</v>
      </c>
      <c r="F204">
        <v>0</v>
      </c>
      <c r="G204" t="s">
        <v>14</v>
      </c>
      <c r="H204" t="s">
        <v>19</v>
      </c>
      <c r="I204" t="s">
        <v>2153</v>
      </c>
      <c r="J204" t="s">
        <v>26</v>
      </c>
      <c r="L204">
        <v>2</v>
      </c>
      <c r="M204" s="1">
        <v>45401</v>
      </c>
    </row>
    <row r="205" spans="1:13" x14ac:dyDescent="0.35">
      <c r="A205" t="s">
        <v>411</v>
      </c>
      <c r="B205" t="s">
        <v>412</v>
      </c>
      <c r="C205" t="s">
        <v>13</v>
      </c>
      <c r="D205">
        <v>57</v>
      </c>
      <c r="E205">
        <v>57</v>
      </c>
      <c r="F205">
        <v>0</v>
      </c>
      <c r="G205" t="s">
        <v>25</v>
      </c>
      <c r="H205" t="s">
        <v>99</v>
      </c>
      <c r="I205" t="s">
        <v>2154</v>
      </c>
      <c r="J205" t="s">
        <v>37</v>
      </c>
      <c r="K205">
        <v>77688</v>
      </c>
      <c r="L205">
        <v>2</v>
      </c>
      <c r="M205" s="1">
        <v>45524</v>
      </c>
    </row>
    <row r="206" spans="1:13" x14ac:dyDescent="0.35">
      <c r="A206" t="s">
        <v>413</v>
      </c>
      <c r="B206" t="s">
        <v>414</v>
      </c>
      <c r="C206" t="s">
        <v>45</v>
      </c>
      <c r="D206">
        <v>30</v>
      </c>
      <c r="E206">
        <v>30</v>
      </c>
      <c r="F206">
        <v>0</v>
      </c>
      <c r="G206" t="s">
        <v>25</v>
      </c>
      <c r="H206" t="s">
        <v>99</v>
      </c>
      <c r="I206" t="s">
        <v>105</v>
      </c>
      <c r="J206" t="s">
        <v>26</v>
      </c>
      <c r="L206">
        <v>8</v>
      </c>
      <c r="M206" s="1">
        <v>45475</v>
      </c>
    </row>
    <row r="207" spans="1:13" x14ac:dyDescent="0.35">
      <c r="A207" t="s">
        <v>415</v>
      </c>
      <c r="B207" t="s">
        <v>416</v>
      </c>
      <c r="C207" t="s">
        <v>117</v>
      </c>
      <c r="D207">
        <v>35</v>
      </c>
      <c r="E207">
        <v>35</v>
      </c>
      <c r="F207">
        <v>0</v>
      </c>
      <c r="G207" t="s">
        <v>25</v>
      </c>
      <c r="H207" t="s">
        <v>58</v>
      </c>
      <c r="I207" t="s">
        <v>88</v>
      </c>
      <c r="J207" t="s">
        <v>20</v>
      </c>
      <c r="K207">
        <v>92900</v>
      </c>
      <c r="L207">
        <v>8</v>
      </c>
      <c r="M207" s="1">
        <v>45508</v>
      </c>
    </row>
    <row r="208" spans="1:13" x14ac:dyDescent="0.35">
      <c r="A208" t="s">
        <v>417</v>
      </c>
      <c r="B208" t="s">
        <v>418</v>
      </c>
      <c r="C208" t="s">
        <v>29</v>
      </c>
      <c r="D208">
        <v>39</v>
      </c>
      <c r="E208">
        <v>39</v>
      </c>
      <c r="F208">
        <v>0</v>
      </c>
      <c r="G208" t="s">
        <v>14</v>
      </c>
      <c r="H208" t="s">
        <v>58</v>
      </c>
      <c r="I208" t="s">
        <v>88</v>
      </c>
      <c r="J208" t="s">
        <v>40</v>
      </c>
      <c r="L208">
        <v>7</v>
      </c>
      <c r="M208" s="1">
        <v>45422</v>
      </c>
    </row>
    <row r="209" spans="1:13" x14ac:dyDescent="0.35">
      <c r="A209" t="s">
        <v>419</v>
      </c>
      <c r="B209" t="s">
        <v>316</v>
      </c>
      <c r="C209" t="s">
        <v>29</v>
      </c>
      <c r="D209">
        <v>27</v>
      </c>
      <c r="E209">
        <v>27</v>
      </c>
      <c r="F209">
        <v>0</v>
      </c>
      <c r="G209" t="s">
        <v>14</v>
      </c>
      <c r="H209" t="s">
        <v>58</v>
      </c>
      <c r="I209" t="s">
        <v>105</v>
      </c>
      <c r="J209" t="s">
        <v>40</v>
      </c>
      <c r="L209">
        <v>3</v>
      </c>
      <c r="M209" s="1">
        <v>45324</v>
      </c>
    </row>
    <row r="210" spans="1:13" x14ac:dyDescent="0.35">
      <c r="A210" t="s">
        <v>420</v>
      </c>
      <c r="B210" t="s">
        <v>421</v>
      </c>
      <c r="C210" t="s">
        <v>184</v>
      </c>
      <c r="D210">
        <v>16</v>
      </c>
      <c r="E210">
        <v>16</v>
      </c>
      <c r="F210">
        <v>0</v>
      </c>
      <c r="G210" t="s">
        <v>25</v>
      </c>
      <c r="H210" t="s">
        <v>19</v>
      </c>
      <c r="I210" t="s">
        <v>15</v>
      </c>
      <c r="J210" t="s">
        <v>26</v>
      </c>
      <c r="L210">
        <v>5</v>
      </c>
      <c r="M210" s="1">
        <v>45584</v>
      </c>
    </row>
    <row r="211" spans="1:13" x14ac:dyDescent="0.35">
      <c r="A211" t="s">
        <v>422</v>
      </c>
      <c r="B211" t="s">
        <v>423</v>
      </c>
      <c r="C211" t="s">
        <v>69</v>
      </c>
      <c r="D211">
        <v>49</v>
      </c>
      <c r="E211">
        <v>49</v>
      </c>
      <c r="F211">
        <v>0</v>
      </c>
      <c r="G211" t="s">
        <v>25</v>
      </c>
      <c r="H211" t="s">
        <v>32</v>
      </c>
      <c r="I211" t="s">
        <v>2153</v>
      </c>
      <c r="J211" t="s">
        <v>37</v>
      </c>
      <c r="K211">
        <v>30000</v>
      </c>
      <c r="L211">
        <v>1</v>
      </c>
      <c r="M211" s="1">
        <v>45547</v>
      </c>
    </row>
    <row r="212" spans="1:13" x14ac:dyDescent="0.35">
      <c r="A212" t="s">
        <v>424</v>
      </c>
      <c r="B212" t="s">
        <v>425</v>
      </c>
      <c r="C212" t="s">
        <v>69</v>
      </c>
      <c r="D212">
        <v>31</v>
      </c>
      <c r="E212">
        <v>31</v>
      </c>
      <c r="F212">
        <v>0</v>
      </c>
      <c r="G212" t="s">
        <v>14</v>
      </c>
      <c r="H212" t="s">
        <v>32</v>
      </c>
      <c r="I212" t="s">
        <v>15</v>
      </c>
      <c r="J212" t="s">
        <v>20</v>
      </c>
      <c r="K212">
        <v>36928</v>
      </c>
      <c r="L212">
        <v>1</v>
      </c>
      <c r="M212" s="1">
        <v>45378</v>
      </c>
    </row>
    <row r="213" spans="1:13" x14ac:dyDescent="0.35">
      <c r="A213" t="s">
        <v>426</v>
      </c>
      <c r="B213" t="s">
        <v>2157</v>
      </c>
      <c r="C213" t="s">
        <v>45</v>
      </c>
      <c r="D213">
        <v>14</v>
      </c>
      <c r="E213">
        <v>14</v>
      </c>
      <c r="F213">
        <v>0</v>
      </c>
      <c r="G213" t="s">
        <v>14</v>
      </c>
      <c r="H213" t="s">
        <v>99</v>
      </c>
      <c r="I213" t="s">
        <v>15</v>
      </c>
      <c r="J213" t="s">
        <v>26</v>
      </c>
      <c r="L213">
        <v>4</v>
      </c>
      <c r="M213" s="1">
        <v>45339</v>
      </c>
    </row>
    <row r="214" spans="1:13" x14ac:dyDescent="0.35">
      <c r="A214" t="s">
        <v>427</v>
      </c>
      <c r="B214" t="s">
        <v>428</v>
      </c>
      <c r="C214" t="s">
        <v>29</v>
      </c>
      <c r="D214">
        <v>42</v>
      </c>
      <c r="E214">
        <v>42</v>
      </c>
      <c r="F214">
        <v>0</v>
      </c>
      <c r="G214" t="s">
        <v>25</v>
      </c>
      <c r="H214" t="s">
        <v>58</v>
      </c>
      <c r="I214" t="s">
        <v>15</v>
      </c>
      <c r="J214" t="s">
        <v>20</v>
      </c>
      <c r="K214">
        <v>93885</v>
      </c>
      <c r="L214">
        <v>7</v>
      </c>
      <c r="M214" s="1">
        <v>45308</v>
      </c>
    </row>
    <row r="215" spans="1:13" x14ac:dyDescent="0.35">
      <c r="A215" t="s">
        <v>429</v>
      </c>
      <c r="B215" t="s">
        <v>430</v>
      </c>
      <c r="C215" t="s">
        <v>117</v>
      </c>
      <c r="D215">
        <v>10</v>
      </c>
      <c r="E215">
        <v>10</v>
      </c>
      <c r="F215">
        <v>0</v>
      </c>
      <c r="G215" t="s">
        <v>14</v>
      </c>
      <c r="H215" t="s">
        <v>99</v>
      </c>
      <c r="I215" t="s">
        <v>105</v>
      </c>
      <c r="J215" t="s">
        <v>26</v>
      </c>
      <c r="L215">
        <v>1</v>
      </c>
      <c r="M215" s="1">
        <v>45461</v>
      </c>
    </row>
    <row r="216" spans="1:13" x14ac:dyDescent="0.35">
      <c r="A216" t="s">
        <v>431</v>
      </c>
      <c r="B216" t="s">
        <v>432</v>
      </c>
      <c r="C216" t="s">
        <v>119</v>
      </c>
      <c r="D216">
        <v>35</v>
      </c>
      <c r="E216">
        <v>35</v>
      </c>
      <c r="F216">
        <v>0</v>
      </c>
      <c r="G216" t="s">
        <v>14</v>
      </c>
      <c r="H216" t="s">
        <v>99</v>
      </c>
      <c r="I216" t="s">
        <v>105</v>
      </c>
      <c r="J216" t="s">
        <v>40</v>
      </c>
      <c r="L216">
        <v>8</v>
      </c>
      <c r="M216" s="1">
        <v>45335</v>
      </c>
    </row>
    <row r="217" spans="1:13" x14ac:dyDescent="0.35">
      <c r="A217" t="s">
        <v>433</v>
      </c>
      <c r="B217" t="s">
        <v>434</v>
      </c>
      <c r="C217" t="s">
        <v>13</v>
      </c>
      <c r="D217">
        <v>34</v>
      </c>
      <c r="E217">
        <v>34</v>
      </c>
      <c r="F217">
        <v>0</v>
      </c>
      <c r="G217" t="s">
        <v>25</v>
      </c>
      <c r="H217" t="s">
        <v>32</v>
      </c>
      <c r="I217" t="s">
        <v>88</v>
      </c>
      <c r="J217" t="s">
        <v>37</v>
      </c>
      <c r="K217">
        <v>63714</v>
      </c>
      <c r="L217">
        <v>3</v>
      </c>
      <c r="M217" s="1">
        <v>45588</v>
      </c>
    </row>
    <row r="218" spans="1:13" x14ac:dyDescent="0.35">
      <c r="A218" t="s">
        <v>435</v>
      </c>
      <c r="B218" t="s">
        <v>436</v>
      </c>
      <c r="C218" t="s">
        <v>69</v>
      </c>
      <c r="D218">
        <v>26</v>
      </c>
      <c r="E218">
        <v>26</v>
      </c>
      <c r="F218">
        <v>0</v>
      </c>
      <c r="G218" t="s">
        <v>25</v>
      </c>
      <c r="H218" t="s">
        <v>19</v>
      </c>
      <c r="I218" t="s">
        <v>105</v>
      </c>
      <c r="J218" t="s">
        <v>37</v>
      </c>
      <c r="K218">
        <v>36546</v>
      </c>
      <c r="L218">
        <v>9</v>
      </c>
      <c r="M218" s="1">
        <v>45376</v>
      </c>
    </row>
    <row r="219" spans="1:13" x14ac:dyDescent="0.35">
      <c r="A219" t="s">
        <v>437</v>
      </c>
      <c r="B219" t="s">
        <v>438</v>
      </c>
      <c r="C219" t="s">
        <v>130</v>
      </c>
      <c r="D219">
        <v>16</v>
      </c>
      <c r="E219">
        <v>16</v>
      </c>
      <c r="F219">
        <v>0</v>
      </c>
      <c r="G219" t="s">
        <v>25</v>
      </c>
      <c r="H219" t="s">
        <v>19</v>
      </c>
      <c r="I219" t="s">
        <v>15</v>
      </c>
      <c r="J219" t="s">
        <v>37</v>
      </c>
      <c r="K219">
        <v>85092</v>
      </c>
      <c r="L219">
        <v>3</v>
      </c>
      <c r="M219" s="1">
        <v>45361</v>
      </c>
    </row>
    <row r="220" spans="1:13" x14ac:dyDescent="0.35">
      <c r="A220" t="s">
        <v>439</v>
      </c>
      <c r="B220" t="s">
        <v>440</v>
      </c>
      <c r="C220" t="s">
        <v>29</v>
      </c>
      <c r="D220">
        <v>33</v>
      </c>
      <c r="E220">
        <v>33</v>
      </c>
      <c r="F220">
        <v>0</v>
      </c>
      <c r="G220" t="s">
        <v>25</v>
      </c>
      <c r="H220" t="s">
        <v>19</v>
      </c>
      <c r="I220" t="s">
        <v>2154</v>
      </c>
      <c r="J220" t="s">
        <v>40</v>
      </c>
      <c r="L220">
        <v>9</v>
      </c>
      <c r="M220" s="1">
        <v>45380</v>
      </c>
    </row>
    <row r="221" spans="1:13" x14ac:dyDescent="0.35">
      <c r="A221" t="s">
        <v>441</v>
      </c>
      <c r="B221" t="s">
        <v>442</v>
      </c>
      <c r="C221" t="s">
        <v>119</v>
      </c>
      <c r="D221">
        <v>49</v>
      </c>
      <c r="E221">
        <v>49</v>
      </c>
      <c r="F221">
        <v>0</v>
      </c>
      <c r="G221" t="s">
        <v>14</v>
      </c>
      <c r="H221" t="s">
        <v>32</v>
      </c>
      <c r="I221" t="s">
        <v>88</v>
      </c>
      <c r="J221" t="s">
        <v>37</v>
      </c>
      <c r="K221">
        <v>96377</v>
      </c>
      <c r="L221">
        <v>9</v>
      </c>
      <c r="M221" s="1">
        <v>45319</v>
      </c>
    </row>
    <row r="222" spans="1:13" x14ac:dyDescent="0.35">
      <c r="A222" t="s">
        <v>443</v>
      </c>
      <c r="B222" t="s">
        <v>444</v>
      </c>
      <c r="C222" t="s">
        <v>119</v>
      </c>
      <c r="D222">
        <v>14</v>
      </c>
      <c r="E222">
        <v>14</v>
      </c>
      <c r="F222">
        <v>0</v>
      </c>
      <c r="G222" t="s">
        <v>14</v>
      </c>
      <c r="H222" t="s">
        <v>99</v>
      </c>
      <c r="I222" t="s">
        <v>2154</v>
      </c>
      <c r="J222" t="s">
        <v>26</v>
      </c>
      <c r="L222">
        <v>8</v>
      </c>
      <c r="M222" s="1">
        <v>45530</v>
      </c>
    </row>
    <row r="223" spans="1:13" x14ac:dyDescent="0.35">
      <c r="A223" t="s">
        <v>445</v>
      </c>
      <c r="B223" t="s">
        <v>446</v>
      </c>
      <c r="C223" t="s">
        <v>172</v>
      </c>
      <c r="D223">
        <v>38</v>
      </c>
      <c r="E223">
        <v>38</v>
      </c>
      <c r="F223">
        <v>0</v>
      </c>
      <c r="G223" t="s">
        <v>14</v>
      </c>
      <c r="H223" t="s">
        <v>58</v>
      </c>
      <c r="I223" t="s">
        <v>2153</v>
      </c>
      <c r="J223" t="s">
        <v>26</v>
      </c>
      <c r="L223">
        <v>4</v>
      </c>
      <c r="M223" s="1">
        <v>45539</v>
      </c>
    </row>
    <row r="224" spans="1:13" x14ac:dyDescent="0.35">
      <c r="A224" t="s">
        <v>447</v>
      </c>
      <c r="B224" t="s">
        <v>285</v>
      </c>
      <c r="C224" t="s">
        <v>130</v>
      </c>
      <c r="D224">
        <v>39</v>
      </c>
      <c r="E224">
        <v>39</v>
      </c>
      <c r="F224">
        <v>0</v>
      </c>
      <c r="G224" t="s">
        <v>25</v>
      </c>
      <c r="H224" t="s">
        <v>19</v>
      </c>
      <c r="I224" t="s">
        <v>2153</v>
      </c>
      <c r="J224" t="s">
        <v>37</v>
      </c>
      <c r="K224">
        <v>33162</v>
      </c>
      <c r="L224">
        <v>6</v>
      </c>
      <c r="M224" s="1">
        <v>45500</v>
      </c>
    </row>
    <row r="225" spans="1:13" x14ac:dyDescent="0.35">
      <c r="A225" t="s">
        <v>448</v>
      </c>
      <c r="B225" t="s">
        <v>449</v>
      </c>
      <c r="C225" t="s">
        <v>45</v>
      </c>
      <c r="D225">
        <v>32</v>
      </c>
      <c r="E225">
        <v>32</v>
      </c>
      <c r="F225">
        <v>0</v>
      </c>
      <c r="G225" t="s">
        <v>14</v>
      </c>
      <c r="H225" t="s">
        <v>19</v>
      </c>
      <c r="I225" t="s">
        <v>105</v>
      </c>
      <c r="J225" t="s">
        <v>20</v>
      </c>
      <c r="K225">
        <v>30000</v>
      </c>
      <c r="L225">
        <v>6</v>
      </c>
      <c r="M225" s="1">
        <v>45404</v>
      </c>
    </row>
    <row r="226" spans="1:13" x14ac:dyDescent="0.35">
      <c r="A226" t="s">
        <v>450</v>
      </c>
      <c r="B226" t="s">
        <v>451</v>
      </c>
      <c r="C226" t="s">
        <v>130</v>
      </c>
      <c r="D226">
        <v>42</v>
      </c>
      <c r="E226">
        <v>42</v>
      </c>
      <c r="F226">
        <v>0</v>
      </c>
      <c r="G226" t="s">
        <v>25</v>
      </c>
      <c r="H226" t="s">
        <v>19</v>
      </c>
      <c r="I226" t="s">
        <v>2153</v>
      </c>
      <c r="J226" t="s">
        <v>26</v>
      </c>
      <c r="L226">
        <v>8</v>
      </c>
      <c r="M226" s="1">
        <v>45534</v>
      </c>
    </row>
    <row r="227" spans="1:13" x14ac:dyDescent="0.35">
      <c r="A227" t="s">
        <v>452</v>
      </c>
      <c r="B227" t="s">
        <v>442</v>
      </c>
      <c r="C227" t="s">
        <v>184</v>
      </c>
      <c r="D227">
        <v>20</v>
      </c>
      <c r="E227">
        <v>20</v>
      </c>
      <c r="F227">
        <v>0</v>
      </c>
      <c r="G227" t="s">
        <v>14</v>
      </c>
      <c r="H227" t="s">
        <v>19</v>
      </c>
      <c r="I227" t="s">
        <v>88</v>
      </c>
      <c r="J227" t="s">
        <v>26</v>
      </c>
      <c r="L227">
        <v>9</v>
      </c>
      <c r="M227" s="1">
        <v>45573</v>
      </c>
    </row>
    <row r="228" spans="1:13" x14ac:dyDescent="0.35">
      <c r="A228" t="s">
        <v>453</v>
      </c>
      <c r="B228" t="s">
        <v>454</v>
      </c>
      <c r="C228" t="s">
        <v>29</v>
      </c>
      <c r="D228">
        <v>35</v>
      </c>
      <c r="F228">
        <v>1</v>
      </c>
      <c r="G228" t="s">
        <v>25</v>
      </c>
      <c r="H228" t="s">
        <v>32</v>
      </c>
      <c r="I228" t="s">
        <v>105</v>
      </c>
      <c r="J228" t="s">
        <v>26</v>
      </c>
      <c r="L228">
        <v>3</v>
      </c>
      <c r="M228" s="1">
        <v>45475</v>
      </c>
    </row>
    <row r="229" spans="1:13" x14ac:dyDescent="0.35">
      <c r="A229" t="s">
        <v>455</v>
      </c>
      <c r="B229" t="s">
        <v>456</v>
      </c>
      <c r="C229" t="s">
        <v>69</v>
      </c>
      <c r="D229">
        <v>40</v>
      </c>
      <c r="E229">
        <v>40</v>
      </c>
      <c r="F229">
        <v>0</v>
      </c>
      <c r="G229" t="s">
        <v>25</v>
      </c>
      <c r="H229" t="s">
        <v>58</v>
      </c>
      <c r="I229" t="s">
        <v>105</v>
      </c>
      <c r="J229" t="s">
        <v>40</v>
      </c>
      <c r="L229">
        <v>1</v>
      </c>
      <c r="M229" s="1">
        <v>45491</v>
      </c>
    </row>
    <row r="230" spans="1:13" x14ac:dyDescent="0.35">
      <c r="A230" t="s">
        <v>457</v>
      </c>
      <c r="B230" t="s">
        <v>294</v>
      </c>
      <c r="C230" t="s">
        <v>29</v>
      </c>
      <c r="D230">
        <v>45</v>
      </c>
      <c r="E230">
        <v>45</v>
      </c>
      <c r="F230">
        <v>0</v>
      </c>
      <c r="G230" t="s">
        <v>14</v>
      </c>
      <c r="H230" t="s">
        <v>19</v>
      </c>
      <c r="I230" t="s">
        <v>88</v>
      </c>
      <c r="J230" t="s">
        <v>26</v>
      </c>
      <c r="L230">
        <v>4</v>
      </c>
      <c r="M230" s="1">
        <v>45501</v>
      </c>
    </row>
    <row r="231" spans="1:13" x14ac:dyDescent="0.35">
      <c r="A231" t="s">
        <v>458</v>
      </c>
      <c r="B231" t="s">
        <v>316</v>
      </c>
      <c r="C231" t="s">
        <v>13</v>
      </c>
      <c r="D231">
        <v>24</v>
      </c>
      <c r="E231">
        <v>24</v>
      </c>
      <c r="F231">
        <v>0</v>
      </c>
      <c r="G231" t="s">
        <v>14</v>
      </c>
      <c r="H231" t="s">
        <v>19</v>
      </c>
      <c r="I231" t="s">
        <v>15</v>
      </c>
      <c r="J231" t="s">
        <v>40</v>
      </c>
      <c r="L231">
        <v>2</v>
      </c>
      <c r="M231" s="1">
        <v>45384</v>
      </c>
    </row>
    <row r="232" spans="1:13" x14ac:dyDescent="0.35">
      <c r="A232" t="s">
        <v>459</v>
      </c>
      <c r="B232" t="s">
        <v>488</v>
      </c>
      <c r="C232" t="s">
        <v>172</v>
      </c>
      <c r="D232">
        <v>19</v>
      </c>
      <c r="E232">
        <v>19</v>
      </c>
      <c r="F232">
        <v>0</v>
      </c>
      <c r="G232" t="s">
        <v>25</v>
      </c>
      <c r="H232" t="s">
        <v>58</v>
      </c>
      <c r="I232" t="s">
        <v>105</v>
      </c>
      <c r="J232" t="s">
        <v>37</v>
      </c>
      <c r="K232">
        <v>52764</v>
      </c>
      <c r="L232">
        <v>1</v>
      </c>
      <c r="M232" s="1">
        <v>45523</v>
      </c>
    </row>
    <row r="233" spans="1:13" x14ac:dyDescent="0.35">
      <c r="A233" t="s">
        <v>460</v>
      </c>
      <c r="B233" t="s">
        <v>461</v>
      </c>
      <c r="C233" t="s">
        <v>119</v>
      </c>
      <c r="D233">
        <v>28</v>
      </c>
      <c r="E233">
        <v>28</v>
      </c>
      <c r="F233">
        <v>0</v>
      </c>
      <c r="G233" t="s">
        <v>14</v>
      </c>
      <c r="H233" t="s">
        <v>99</v>
      </c>
      <c r="I233" t="s">
        <v>88</v>
      </c>
      <c r="J233" t="s">
        <v>40</v>
      </c>
      <c r="L233">
        <v>5</v>
      </c>
      <c r="M233" s="1">
        <v>45354</v>
      </c>
    </row>
    <row r="234" spans="1:13" x14ac:dyDescent="0.35">
      <c r="A234" t="s">
        <v>462</v>
      </c>
      <c r="B234" t="s">
        <v>463</v>
      </c>
      <c r="C234" t="s">
        <v>184</v>
      </c>
      <c r="D234">
        <v>39</v>
      </c>
      <c r="E234">
        <v>39</v>
      </c>
      <c r="F234">
        <v>0</v>
      </c>
      <c r="G234" t="s">
        <v>14</v>
      </c>
      <c r="H234" t="s">
        <v>99</v>
      </c>
      <c r="I234" t="s">
        <v>2153</v>
      </c>
      <c r="J234" t="s">
        <v>40</v>
      </c>
      <c r="L234">
        <v>7</v>
      </c>
      <c r="M234" s="1">
        <v>45543</v>
      </c>
    </row>
    <row r="235" spans="1:13" x14ac:dyDescent="0.35">
      <c r="A235" t="s">
        <v>464</v>
      </c>
      <c r="B235" t="s">
        <v>465</v>
      </c>
      <c r="C235" t="s">
        <v>184</v>
      </c>
      <c r="D235">
        <v>32</v>
      </c>
      <c r="E235">
        <v>32</v>
      </c>
      <c r="F235">
        <v>0</v>
      </c>
      <c r="G235" t="s">
        <v>25</v>
      </c>
      <c r="H235" t="s">
        <v>19</v>
      </c>
      <c r="I235" t="s">
        <v>88</v>
      </c>
      <c r="J235" t="s">
        <v>16</v>
      </c>
      <c r="L235">
        <v>1</v>
      </c>
      <c r="M235" s="1">
        <v>45314</v>
      </c>
    </row>
    <row r="236" spans="1:13" x14ac:dyDescent="0.35">
      <c r="A236" t="s">
        <v>466</v>
      </c>
      <c r="B236" t="s">
        <v>467</v>
      </c>
      <c r="C236" t="s">
        <v>29</v>
      </c>
      <c r="D236">
        <v>28</v>
      </c>
      <c r="E236">
        <v>28</v>
      </c>
      <c r="F236">
        <v>0</v>
      </c>
      <c r="G236" t="s">
        <v>14</v>
      </c>
      <c r="H236" t="s">
        <v>99</v>
      </c>
      <c r="I236" t="s">
        <v>88</v>
      </c>
      <c r="J236" t="s">
        <v>40</v>
      </c>
      <c r="L236">
        <v>9</v>
      </c>
      <c r="M236" s="1">
        <v>45342</v>
      </c>
    </row>
    <row r="237" spans="1:13" x14ac:dyDescent="0.35">
      <c r="A237" t="s">
        <v>468</v>
      </c>
      <c r="B237" t="s">
        <v>469</v>
      </c>
      <c r="C237" t="s">
        <v>13</v>
      </c>
      <c r="D237">
        <v>34</v>
      </c>
      <c r="F237">
        <v>1</v>
      </c>
      <c r="G237" t="s">
        <v>25</v>
      </c>
      <c r="H237" t="s">
        <v>32</v>
      </c>
      <c r="I237" t="s">
        <v>105</v>
      </c>
      <c r="J237" t="s">
        <v>16</v>
      </c>
      <c r="L237">
        <v>2</v>
      </c>
      <c r="M237" s="1">
        <v>45313</v>
      </c>
    </row>
    <row r="238" spans="1:13" x14ac:dyDescent="0.35">
      <c r="A238" t="s">
        <v>470</v>
      </c>
      <c r="B238" t="s">
        <v>471</v>
      </c>
      <c r="C238" t="s">
        <v>172</v>
      </c>
      <c r="D238">
        <v>26</v>
      </c>
      <c r="E238">
        <v>26</v>
      </c>
      <c r="F238">
        <v>0</v>
      </c>
      <c r="G238" t="s">
        <v>25</v>
      </c>
      <c r="H238" t="s">
        <v>32</v>
      </c>
      <c r="I238" t="s">
        <v>2154</v>
      </c>
      <c r="J238" t="s">
        <v>20</v>
      </c>
      <c r="K238">
        <v>51931</v>
      </c>
      <c r="L238">
        <v>2</v>
      </c>
      <c r="M238" s="1">
        <v>45458</v>
      </c>
    </row>
    <row r="239" spans="1:13" x14ac:dyDescent="0.35">
      <c r="A239" t="s">
        <v>472</v>
      </c>
      <c r="B239" t="s">
        <v>473</v>
      </c>
      <c r="C239" t="s">
        <v>45</v>
      </c>
      <c r="D239">
        <v>70</v>
      </c>
      <c r="E239">
        <v>70</v>
      </c>
      <c r="F239">
        <v>0</v>
      </c>
      <c r="G239" t="s">
        <v>14</v>
      </c>
      <c r="H239" t="s">
        <v>32</v>
      </c>
      <c r="I239" t="s">
        <v>88</v>
      </c>
      <c r="J239" t="s">
        <v>40</v>
      </c>
      <c r="L239">
        <v>9</v>
      </c>
      <c r="M239" s="1">
        <v>45491</v>
      </c>
    </row>
    <row r="240" spans="1:13" x14ac:dyDescent="0.35">
      <c r="A240" t="s">
        <v>2158</v>
      </c>
      <c r="B240" t="s">
        <v>227</v>
      </c>
      <c r="C240" t="s">
        <v>130</v>
      </c>
      <c r="D240">
        <v>40</v>
      </c>
      <c r="E240">
        <v>40</v>
      </c>
      <c r="F240">
        <v>0</v>
      </c>
      <c r="G240" t="s">
        <v>14</v>
      </c>
      <c r="H240" t="s">
        <v>32</v>
      </c>
      <c r="I240" t="s">
        <v>15</v>
      </c>
      <c r="J240" t="s">
        <v>26</v>
      </c>
      <c r="L240">
        <v>3</v>
      </c>
      <c r="M240" s="1">
        <v>45304</v>
      </c>
    </row>
    <row r="241" spans="1:13" x14ac:dyDescent="0.35">
      <c r="A241" t="s">
        <v>474</v>
      </c>
      <c r="B241" t="s">
        <v>475</v>
      </c>
      <c r="C241" t="s">
        <v>117</v>
      </c>
      <c r="D241">
        <v>24</v>
      </c>
      <c r="E241">
        <v>24</v>
      </c>
      <c r="F241">
        <v>0</v>
      </c>
      <c r="G241" t="s">
        <v>14</v>
      </c>
      <c r="H241" t="s">
        <v>19</v>
      </c>
      <c r="I241" t="s">
        <v>88</v>
      </c>
      <c r="J241" t="s">
        <v>26</v>
      </c>
      <c r="L241">
        <v>8</v>
      </c>
      <c r="M241" s="1">
        <v>45483</v>
      </c>
    </row>
    <row r="242" spans="1:13" x14ac:dyDescent="0.35">
      <c r="A242" t="s">
        <v>476</v>
      </c>
      <c r="B242" t="s">
        <v>477</v>
      </c>
      <c r="C242" t="s">
        <v>184</v>
      </c>
      <c r="D242">
        <v>38</v>
      </c>
      <c r="E242">
        <v>38</v>
      </c>
      <c r="F242">
        <v>0</v>
      </c>
      <c r="G242" t="s">
        <v>25</v>
      </c>
      <c r="H242" t="s">
        <v>58</v>
      </c>
      <c r="I242" t="s">
        <v>105</v>
      </c>
      <c r="J242" t="s">
        <v>37</v>
      </c>
      <c r="K242">
        <v>30158</v>
      </c>
      <c r="L242">
        <v>5</v>
      </c>
      <c r="M242" s="1">
        <v>45569</v>
      </c>
    </row>
    <row r="243" spans="1:13" x14ac:dyDescent="0.35">
      <c r="A243" t="s">
        <v>478</v>
      </c>
      <c r="B243" t="s">
        <v>479</v>
      </c>
      <c r="C243" t="s">
        <v>119</v>
      </c>
      <c r="D243">
        <v>41</v>
      </c>
      <c r="E243">
        <v>41</v>
      </c>
      <c r="F243">
        <v>0</v>
      </c>
      <c r="G243" t="s">
        <v>25</v>
      </c>
      <c r="H243" t="s">
        <v>99</v>
      </c>
      <c r="I243" t="s">
        <v>105</v>
      </c>
      <c r="J243" t="s">
        <v>37</v>
      </c>
      <c r="K243">
        <v>46990</v>
      </c>
      <c r="L243">
        <v>6</v>
      </c>
      <c r="M243" s="1">
        <v>45554</v>
      </c>
    </row>
    <row r="244" spans="1:13" x14ac:dyDescent="0.35">
      <c r="A244" t="s">
        <v>480</v>
      </c>
      <c r="B244" t="s">
        <v>481</v>
      </c>
      <c r="C244" t="s">
        <v>117</v>
      </c>
      <c r="D244">
        <v>43</v>
      </c>
      <c r="E244">
        <v>43</v>
      </c>
      <c r="F244">
        <v>0</v>
      </c>
      <c r="G244" t="s">
        <v>14</v>
      </c>
      <c r="H244" t="s">
        <v>58</v>
      </c>
      <c r="I244" t="s">
        <v>105</v>
      </c>
      <c r="J244" t="s">
        <v>37</v>
      </c>
      <c r="K244">
        <v>122249</v>
      </c>
      <c r="L244">
        <v>4</v>
      </c>
      <c r="M244" s="1">
        <v>45434</v>
      </c>
    </row>
    <row r="245" spans="1:13" x14ac:dyDescent="0.35">
      <c r="A245" t="s">
        <v>482</v>
      </c>
      <c r="B245" t="s">
        <v>449</v>
      </c>
      <c r="C245" t="s">
        <v>29</v>
      </c>
      <c r="D245">
        <v>29</v>
      </c>
      <c r="E245">
        <v>29</v>
      </c>
      <c r="F245">
        <v>0</v>
      </c>
      <c r="G245" t="s">
        <v>14</v>
      </c>
      <c r="H245" t="s">
        <v>32</v>
      </c>
      <c r="I245" t="s">
        <v>15</v>
      </c>
      <c r="J245" t="s">
        <v>26</v>
      </c>
      <c r="L245">
        <v>3</v>
      </c>
      <c r="M245" s="1">
        <v>45312</v>
      </c>
    </row>
    <row r="246" spans="1:13" x14ac:dyDescent="0.35">
      <c r="A246" t="s">
        <v>483</v>
      </c>
      <c r="B246" t="s">
        <v>263</v>
      </c>
      <c r="C246" t="s">
        <v>130</v>
      </c>
      <c r="D246">
        <v>1</v>
      </c>
      <c r="E246">
        <v>1</v>
      </c>
      <c r="F246">
        <v>0</v>
      </c>
      <c r="G246" t="s">
        <v>14</v>
      </c>
      <c r="H246" t="s">
        <v>99</v>
      </c>
      <c r="I246" t="s">
        <v>15</v>
      </c>
      <c r="J246" t="s">
        <v>26</v>
      </c>
      <c r="L246">
        <v>4</v>
      </c>
      <c r="M246" s="1">
        <v>45519</v>
      </c>
    </row>
    <row r="247" spans="1:13" x14ac:dyDescent="0.35">
      <c r="A247" t="s">
        <v>484</v>
      </c>
      <c r="B247" t="s">
        <v>485</v>
      </c>
      <c r="C247" t="s">
        <v>45</v>
      </c>
      <c r="D247">
        <v>26</v>
      </c>
      <c r="E247">
        <v>26</v>
      </c>
      <c r="F247">
        <v>0</v>
      </c>
      <c r="G247" t="s">
        <v>14</v>
      </c>
      <c r="H247" t="s">
        <v>58</v>
      </c>
      <c r="I247" t="s">
        <v>105</v>
      </c>
      <c r="J247" t="s">
        <v>26</v>
      </c>
      <c r="L247">
        <v>8</v>
      </c>
      <c r="M247" s="1">
        <v>45308</v>
      </c>
    </row>
    <row r="248" spans="1:13" x14ac:dyDescent="0.35">
      <c r="A248" t="s">
        <v>486</v>
      </c>
      <c r="B248" t="s">
        <v>73</v>
      </c>
      <c r="C248" t="s">
        <v>69</v>
      </c>
      <c r="D248">
        <v>24</v>
      </c>
      <c r="E248">
        <v>24</v>
      </c>
      <c r="F248">
        <v>0</v>
      </c>
      <c r="G248" t="s">
        <v>25</v>
      </c>
      <c r="H248" t="s">
        <v>32</v>
      </c>
      <c r="I248" t="s">
        <v>105</v>
      </c>
      <c r="J248" t="s">
        <v>16</v>
      </c>
      <c r="L248">
        <v>9</v>
      </c>
      <c r="M248" s="1">
        <v>45345</v>
      </c>
    </row>
    <row r="249" spans="1:13" x14ac:dyDescent="0.35">
      <c r="A249" t="s">
        <v>487</v>
      </c>
      <c r="B249" t="s">
        <v>488</v>
      </c>
      <c r="C249" t="s">
        <v>117</v>
      </c>
      <c r="D249">
        <v>44</v>
      </c>
      <c r="E249">
        <v>44</v>
      </c>
      <c r="F249">
        <v>0</v>
      </c>
      <c r="G249" t="s">
        <v>25</v>
      </c>
      <c r="H249" t="s">
        <v>58</v>
      </c>
      <c r="I249" t="s">
        <v>105</v>
      </c>
      <c r="J249" t="s">
        <v>37</v>
      </c>
      <c r="K249">
        <v>63994</v>
      </c>
      <c r="L249">
        <v>9</v>
      </c>
      <c r="M249" s="1">
        <v>45397</v>
      </c>
    </row>
    <row r="250" spans="1:13" x14ac:dyDescent="0.35">
      <c r="A250" t="s">
        <v>489</v>
      </c>
      <c r="B250" t="s">
        <v>121</v>
      </c>
      <c r="C250" t="s">
        <v>69</v>
      </c>
      <c r="D250">
        <v>55</v>
      </c>
      <c r="E250">
        <v>55</v>
      </c>
      <c r="F250">
        <v>0</v>
      </c>
      <c r="G250" t="s">
        <v>25</v>
      </c>
      <c r="H250" t="s">
        <v>99</v>
      </c>
      <c r="I250" t="s">
        <v>15</v>
      </c>
      <c r="J250" t="s">
        <v>16</v>
      </c>
      <c r="L250">
        <v>8</v>
      </c>
      <c r="M250" s="1">
        <v>45537</v>
      </c>
    </row>
    <row r="251" spans="1:13" x14ac:dyDescent="0.35">
      <c r="A251" t="s">
        <v>490</v>
      </c>
      <c r="B251" t="s">
        <v>491</v>
      </c>
      <c r="C251" t="s">
        <v>29</v>
      </c>
      <c r="D251">
        <v>15</v>
      </c>
      <c r="E251">
        <v>15</v>
      </c>
      <c r="F251">
        <v>0</v>
      </c>
      <c r="G251" t="s">
        <v>25</v>
      </c>
      <c r="H251" t="s">
        <v>58</v>
      </c>
      <c r="I251" t="s">
        <v>105</v>
      </c>
      <c r="J251" t="s">
        <v>16</v>
      </c>
      <c r="L251">
        <v>9</v>
      </c>
      <c r="M251" s="1">
        <v>45494</v>
      </c>
    </row>
    <row r="252" spans="1:13" x14ac:dyDescent="0.35">
      <c r="A252" t="s">
        <v>492</v>
      </c>
      <c r="B252" t="s">
        <v>469</v>
      </c>
      <c r="C252" t="s">
        <v>69</v>
      </c>
      <c r="D252">
        <v>50</v>
      </c>
      <c r="E252">
        <v>50</v>
      </c>
      <c r="F252">
        <v>0</v>
      </c>
      <c r="G252" t="s">
        <v>25</v>
      </c>
      <c r="H252" t="s">
        <v>58</v>
      </c>
      <c r="I252" t="s">
        <v>88</v>
      </c>
      <c r="J252" t="s">
        <v>20</v>
      </c>
      <c r="K252">
        <v>80850</v>
      </c>
      <c r="L252">
        <v>8</v>
      </c>
      <c r="M252" s="1">
        <v>45573</v>
      </c>
    </row>
    <row r="253" spans="1:13" x14ac:dyDescent="0.35">
      <c r="A253" t="s">
        <v>493</v>
      </c>
      <c r="B253" t="s">
        <v>494</v>
      </c>
      <c r="C253" t="s">
        <v>184</v>
      </c>
      <c r="D253">
        <v>26</v>
      </c>
      <c r="E253">
        <v>26</v>
      </c>
      <c r="F253">
        <v>0</v>
      </c>
      <c r="G253" t="s">
        <v>14</v>
      </c>
      <c r="H253" t="s">
        <v>19</v>
      </c>
      <c r="I253" t="s">
        <v>15</v>
      </c>
      <c r="J253" t="s">
        <v>16</v>
      </c>
      <c r="L253">
        <v>3</v>
      </c>
      <c r="M253" s="1">
        <v>45454</v>
      </c>
    </row>
    <row r="254" spans="1:13" x14ac:dyDescent="0.35">
      <c r="A254" t="s">
        <v>495</v>
      </c>
      <c r="B254" t="s">
        <v>249</v>
      </c>
      <c r="C254" t="s">
        <v>184</v>
      </c>
      <c r="D254">
        <v>37</v>
      </c>
      <c r="E254">
        <v>37</v>
      </c>
      <c r="F254">
        <v>0</v>
      </c>
      <c r="G254" t="s">
        <v>14</v>
      </c>
      <c r="H254" t="s">
        <v>19</v>
      </c>
      <c r="I254" t="s">
        <v>15</v>
      </c>
      <c r="J254" t="s">
        <v>26</v>
      </c>
      <c r="L254">
        <v>8</v>
      </c>
      <c r="M254" s="1">
        <v>45502</v>
      </c>
    </row>
    <row r="255" spans="1:13" x14ac:dyDescent="0.35">
      <c r="A255" t="s">
        <v>496</v>
      </c>
      <c r="B255" t="s">
        <v>18</v>
      </c>
      <c r="C255" t="s">
        <v>29</v>
      </c>
      <c r="D255">
        <v>56</v>
      </c>
      <c r="E255">
        <v>56</v>
      </c>
      <c r="F255">
        <v>0</v>
      </c>
      <c r="G255" t="s">
        <v>14</v>
      </c>
      <c r="H255" t="s">
        <v>58</v>
      </c>
      <c r="I255" t="s">
        <v>2154</v>
      </c>
      <c r="J255" t="s">
        <v>16</v>
      </c>
      <c r="L255">
        <v>3</v>
      </c>
      <c r="M255" s="1">
        <v>45351</v>
      </c>
    </row>
    <row r="256" spans="1:13" x14ac:dyDescent="0.35">
      <c r="A256" t="s">
        <v>497</v>
      </c>
      <c r="B256" t="s">
        <v>498</v>
      </c>
      <c r="C256" t="s">
        <v>119</v>
      </c>
      <c r="D256">
        <v>31</v>
      </c>
      <c r="E256">
        <v>31</v>
      </c>
      <c r="F256">
        <v>0</v>
      </c>
      <c r="G256" t="s">
        <v>14</v>
      </c>
      <c r="H256" t="s">
        <v>58</v>
      </c>
      <c r="I256" t="s">
        <v>88</v>
      </c>
      <c r="J256" t="s">
        <v>20</v>
      </c>
      <c r="K256">
        <v>30000</v>
      </c>
      <c r="L256">
        <v>9</v>
      </c>
      <c r="M256" s="1">
        <v>45451</v>
      </c>
    </row>
    <row r="257" spans="1:13" x14ac:dyDescent="0.35">
      <c r="A257" t="s">
        <v>499</v>
      </c>
      <c r="B257" t="s">
        <v>247</v>
      </c>
      <c r="C257" t="s">
        <v>69</v>
      </c>
      <c r="D257">
        <v>40</v>
      </c>
      <c r="E257">
        <v>40</v>
      </c>
      <c r="F257">
        <v>0</v>
      </c>
      <c r="G257" t="s">
        <v>14</v>
      </c>
      <c r="H257" t="s">
        <v>32</v>
      </c>
      <c r="I257" t="s">
        <v>105</v>
      </c>
      <c r="J257" t="s">
        <v>37</v>
      </c>
      <c r="K257">
        <v>78024</v>
      </c>
      <c r="L257">
        <v>9</v>
      </c>
      <c r="M257" s="1">
        <v>45344</v>
      </c>
    </row>
    <row r="258" spans="1:13" x14ac:dyDescent="0.35">
      <c r="A258" t="s">
        <v>500</v>
      </c>
      <c r="B258" t="s">
        <v>501</v>
      </c>
      <c r="C258" t="s">
        <v>45</v>
      </c>
      <c r="D258">
        <v>56</v>
      </c>
      <c r="E258">
        <v>56</v>
      </c>
      <c r="F258">
        <v>0</v>
      </c>
      <c r="G258" t="s">
        <v>25</v>
      </c>
      <c r="H258" t="s">
        <v>32</v>
      </c>
      <c r="I258" t="s">
        <v>88</v>
      </c>
      <c r="J258" t="s">
        <v>26</v>
      </c>
      <c r="L258">
        <v>7</v>
      </c>
      <c r="M258" s="1">
        <v>45384</v>
      </c>
    </row>
    <row r="259" spans="1:13" x14ac:dyDescent="0.35">
      <c r="A259" t="s">
        <v>502</v>
      </c>
      <c r="B259" t="s">
        <v>300</v>
      </c>
      <c r="C259" t="s">
        <v>117</v>
      </c>
      <c r="D259">
        <v>45</v>
      </c>
      <c r="E259">
        <v>45</v>
      </c>
      <c r="F259">
        <v>0</v>
      </c>
      <c r="G259" t="s">
        <v>25</v>
      </c>
      <c r="H259" t="s">
        <v>99</v>
      </c>
      <c r="I259" t="s">
        <v>2153</v>
      </c>
      <c r="J259" t="s">
        <v>16</v>
      </c>
      <c r="L259">
        <v>8</v>
      </c>
      <c r="M259" s="1">
        <v>45502</v>
      </c>
    </row>
    <row r="260" spans="1:13" x14ac:dyDescent="0.35">
      <c r="A260" t="s">
        <v>503</v>
      </c>
      <c r="B260" t="s">
        <v>321</v>
      </c>
      <c r="C260" t="s">
        <v>45</v>
      </c>
      <c r="D260">
        <v>36</v>
      </c>
      <c r="E260">
        <v>36</v>
      </c>
      <c r="F260">
        <v>0</v>
      </c>
      <c r="G260" t="s">
        <v>14</v>
      </c>
      <c r="H260" t="s">
        <v>32</v>
      </c>
      <c r="I260" t="s">
        <v>88</v>
      </c>
      <c r="J260" t="s">
        <v>26</v>
      </c>
      <c r="L260">
        <v>7</v>
      </c>
      <c r="M260" s="1">
        <v>45372</v>
      </c>
    </row>
    <row r="261" spans="1:13" x14ac:dyDescent="0.35">
      <c r="A261" t="s">
        <v>504</v>
      </c>
      <c r="B261" t="s">
        <v>446</v>
      </c>
      <c r="C261" t="s">
        <v>117</v>
      </c>
      <c r="D261">
        <v>37</v>
      </c>
      <c r="E261">
        <v>37</v>
      </c>
      <c r="F261">
        <v>0</v>
      </c>
      <c r="G261" t="s">
        <v>14</v>
      </c>
      <c r="H261" t="s">
        <v>19</v>
      </c>
      <c r="I261" t="s">
        <v>105</v>
      </c>
      <c r="J261" t="s">
        <v>40</v>
      </c>
      <c r="L261">
        <v>7</v>
      </c>
      <c r="M261" s="1">
        <v>45452</v>
      </c>
    </row>
    <row r="262" spans="1:13" x14ac:dyDescent="0.35">
      <c r="A262" t="s">
        <v>505</v>
      </c>
      <c r="B262" t="s">
        <v>774</v>
      </c>
      <c r="C262" t="s">
        <v>154</v>
      </c>
      <c r="D262">
        <v>35</v>
      </c>
      <c r="E262">
        <v>35</v>
      </c>
      <c r="F262">
        <v>0</v>
      </c>
      <c r="G262" t="s">
        <v>14</v>
      </c>
      <c r="H262" t="s">
        <v>99</v>
      </c>
      <c r="I262" t="s">
        <v>105</v>
      </c>
      <c r="J262" t="s">
        <v>20</v>
      </c>
      <c r="K262">
        <v>66807</v>
      </c>
      <c r="L262">
        <v>8</v>
      </c>
      <c r="M262" s="1">
        <v>45345</v>
      </c>
    </row>
    <row r="263" spans="1:13" x14ac:dyDescent="0.35">
      <c r="A263" t="s">
        <v>506</v>
      </c>
      <c r="B263" t="s">
        <v>507</v>
      </c>
      <c r="C263" t="s">
        <v>69</v>
      </c>
      <c r="D263">
        <v>56</v>
      </c>
      <c r="E263">
        <v>56</v>
      </c>
      <c r="F263">
        <v>0</v>
      </c>
      <c r="G263" t="s">
        <v>14</v>
      </c>
      <c r="H263" t="s">
        <v>99</v>
      </c>
      <c r="I263" t="s">
        <v>105</v>
      </c>
      <c r="J263" t="s">
        <v>37</v>
      </c>
      <c r="K263">
        <v>112201</v>
      </c>
      <c r="L263">
        <v>2</v>
      </c>
      <c r="M263" s="1">
        <v>45302</v>
      </c>
    </row>
    <row r="264" spans="1:13" x14ac:dyDescent="0.35">
      <c r="A264" t="s">
        <v>508</v>
      </c>
      <c r="B264" t="s">
        <v>509</v>
      </c>
      <c r="C264" t="s">
        <v>117</v>
      </c>
      <c r="D264">
        <v>60</v>
      </c>
      <c r="E264">
        <v>60</v>
      </c>
      <c r="F264">
        <v>0</v>
      </c>
      <c r="G264" t="s">
        <v>14</v>
      </c>
      <c r="H264" t="s">
        <v>99</v>
      </c>
      <c r="I264" t="s">
        <v>105</v>
      </c>
      <c r="J264" t="s">
        <v>37</v>
      </c>
      <c r="K264">
        <v>62504</v>
      </c>
      <c r="L264">
        <v>7</v>
      </c>
      <c r="M264" s="1">
        <v>45511</v>
      </c>
    </row>
    <row r="265" spans="1:13" x14ac:dyDescent="0.35">
      <c r="A265" t="s">
        <v>510</v>
      </c>
      <c r="B265" t="s">
        <v>511</v>
      </c>
      <c r="C265" t="s">
        <v>184</v>
      </c>
      <c r="D265">
        <v>61</v>
      </c>
      <c r="E265">
        <v>61</v>
      </c>
      <c r="F265">
        <v>0</v>
      </c>
      <c r="G265" t="s">
        <v>25</v>
      </c>
      <c r="H265" t="s">
        <v>32</v>
      </c>
      <c r="I265" t="s">
        <v>15</v>
      </c>
      <c r="J265" t="s">
        <v>40</v>
      </c>
      <c r="L265">
        <v>6</v>
      </c>
      <c r="M265" s="1">
        <v>45451</v>
      </c>
    </row>
    <row r="266" spans="1:13" x14ac:dyDescent="0.35">
      <c r="A266" t="s">
        <v>512</v>
      </c>
      <c r="B266" t="s">
        <v>513</v>
      </c>
      <c r="C266" t="s">
        <v>172</v>
      </c>
      <c r="D266">
        <v>22</v>
      </c>
      <c r="E266">
        <v>22</v>
      </c>
      <c r="F266">
        <v>0</v>
      </c>
      <c r="G266" t="s">
        <v>14</v>
      </c>
      <c r="H266" t="s">
        <v>32</v>
      </c>
      <c r="I266" t="s">
        <v>2154</v>
      </c>
      <c r="J266" t="s">
        <v>16</v>
      </c>
      <c r="L266">
        <v>2</v>
      </c>
      <c r="M266" s="1">
        <v>45419</v>
      </c>
    </row>
    <row r="267" spans="1:13" x14ac:dyDescent="0.35">
      <c r="A267" t="s">
        <v>514</v>
      </c>
      <c r="B267" t="s">
        <v>55</v>
      </c>
      <c r="C267" t="s">
        <v>172</v>
      </c>
      <c r="D267">
        <v>27</v>
      </c>
      <c r="E267">
        <v>27</v>
      </c>
      <c r="F267">
        <v>0</v>
      </c>
      <c r="G267" t="s">
        <v>25</v>
      </c>
      <c r="H267" t="s">
        <v>99</v>
      </c>
      <c r="I267" t="s">
        <v>15</v>
      </c>
      <c r="J267" t="s">
        <v>20</v>
      </c>
      <c r="K267">
        <v>34155</v>
      </c>
      <c r="L267">
        <v>7</v>
      </c>
      <c r="M267" s="1">
        <v>45473</v>
      </c>
    </row>
    <row r="268" spans="1:13" x14ac:dyDescent="0.35">
      <c r="A268" t="s">
        <v>515</v>
      </c>
      <c r="B268" t="s">
        <v>18</v>
      </c>
      <c r="C268" t="s">
        <v>154</v>
      </c>
      <c r="D268">
        <v>31</v>
      </c>
      <c r="E268">
        <v>31</v>
      </c>
      <c r="F268">
        <v>0</v>
      </c>
      <c r="G268" t="s">
        <v>14</v>
      </c>
      <c r="H268" t="s">
        <v>58</v>
      </c>
      <c r="I268" t="s">
        <v>15</v>
      </c>
      <c r="J268" t="s">
        <v>16</v>
      </c>
      <c r="L268">
        <v>5</v>
      </c>
      <c r="M268" s="1">
        <v>45522</v>
      </c>
    </row>
    <row r="269" spans="1:13" x14ac:dyDescent="0.35">
      <c r="A269" t="s">
        <v>516</v>
      </c>
      <c r="B269" t="s">
        <v>517</v>
      </c>
      <c r="C269" t="s">
        <v>13</v>
      </c>
      <c r="D269">
        <v>44</v>
      </c>
      <c r="E269">
        <v>44</v>
      </c>
      <c r="F269">
        <v>0</v>
      </c>
      <c r="G269" t="s">
        <v>14</v>
      </c>
      <c r="H269" t="s">
        <v>19</v>
      </c>
      <c r="I269" t="s">
        <v>105</v>
      </c>
      <c r="J269" t="s">
        <v>16</v>
      </c>
      <c r="L269">
        <v>8</v>
      </c>
      <c r="M269" s="1">
        <v>45565</v>
      </c>
    </row>
    <row r="270" spans="1:13" x14ac:dyDescent="0.35">
      <c r="A270" t="s">
        <v>518</v>
      </c>
      <c r="B270" t="s">
        <v>519</v>
      </c>
      <c r="C270" t="s">
        <v>172</v>
      </c>
      <c r="D270">
        <v>53</v>
      </c>
      <c r="E270">
        <v>53</v>
      </c>
      <c r="F270">
        <v>0</v>
      </c>
      <c r="G270" t="s">
        <v>25</v>
      </c>
      <c r="H270" t="s">
        <v>32</v>
      </c>
      <c r="I270" t="s">
        <v>105</v>
      </c>
      <c r="J270" t="s">
        <v>37</v>
      </c>
      <c r="K270">
        <v>32061</v>
      </c>
      <c r="L270">
        <v>6</v>
      </c>
      <c r="M270" s="1">
        <v>45560</v>
      </c>
    </row>
    <row r="271" spans="1:13" x14ac:dyDescent="0.35">
      <c r="A271" t="s">
        <v>520</v>
      </c>
      <c r="B271" t="s">
        <v>521</v>
      </c>
      <c r="C271" t="s">
        <v>117</v>
      </c>
      <c r="D271">
        <v>44</v>
      </c>
      <c r="E271">
        <v>44</v>
      </c>
      <c r="F271">
        <v>0</v>
      </c>
      <c r="G271" t="s">
        <v>14</v>
      </c>
      <c r="H271" t="s">
        <v>19</v>
      </c>
      <c r="I271" t="s">
        <v>15</v>
      </c>
      <c r="J271" t="s">
        <v>40</v>
      </c>
      <c r="L271">
        <v>8</v>
      </c>
      <c r="M271" s="1">
        <v>45318</v>
      </c>
    </row>
    <row r="272" spans="1:13" x14ac:dyDescent="0.35">
      <c r="A272" t="s">
        <v>522</v>
      </c>
      <c r="B272" t="s">
        <v>200</v>
      </c>
      <c r="C272" t="s">
        <v>184</v>
      </c>
      <c r="D272">
        <v>19</v>
      </c>
      <c r="E272">
        <v>19</v>
      </c>
      <c r="F272">
        <v>0</v>
      </c>
      <c r="G272" t="s">
        <v>25</v>
      </c>
      <c r="H272" t="s">
        <v>99</v>
      </c>
      <c r="I272" t="s">
        <v>105</v>
      </c>
      <c r="J272" t="s">
        <v>26</v>
      </c>
      <c r="L272">
        <v>7</v>
      </c>
      <c r="M272" s="1">
        <v>45306</v>
      </c>
    </row>
    <row r="273" spans="1:13" x14ac:dyDescent="0.35">
      <c r="A273" t="s">
        <v>523</v>
      </c>
      <c r="B273" t="s">
        <v>524</v>
      </c>
      <c r="C273" t="s">
        <v>13</v>
      </c>
      <c r="D273">
        <v>27</v>
      </c>
      <c r="E273">
        <v>27</v>
      </c>
      <c r="F273">
        <v>0</v>
      </c>
      <c r="G273" t="s">
        <v>25</v>
      </c>
      <c r="H273" t="s">
        <v>32</v>
      </c>
      <c r="I273" t="s">
        <v>15</v>
      </c>
      <c r="J273" t="s">
        <v>16</v>
      </c>
      <c r="L273">
        <v>9</v>
      </c>
      <c r="M273" s="1">
        <v>45553</v>
      </c>
    </row>
    <row r="274" spans="1:13" x14ac:dyDescent="0.35">
      <c r="A274" t="s">
        <v>525</v>
      </c>
      <c r="B274" t="s">
        <v>526</v>
      </c>
      <c r="C274" t="s">
        <v>119</v>
      </c>
      <c r="D274">
        <v>29</v>
      </c>
      <c r="E274">
        <v>29</v>
      </c>
      <c r="F274">
        <v>0</v>
      </c>
      <c r="G274" t="s">
        <v>25</v>
      </c>
      <c r="H274" t="s">
        <v>32</v>
      </c>
      <c r="I274" t="s">
        <v>105</v>
      </c>
      <c r="J274" t="s">
        <v>16</v>
      </c>
      <c r="L274">
        <v>2</v>
      </c>
      <c r="M274" s="1">
        <v>45577</v>
      </c>
    </row>
    <row r="275" spans="1:13" x14ac:dyDescent="0.35">
      <c r="A275" t="s">
        <v>527</v>
      </c>
      <c r="B275" t="s">
        <v>353</v>
      </c>
      <c r="C275" t="s">
        <v>69</v>
      </c>
      <c r="D275">
        <v>1</v>
      </c>
      <c r="E275">
        <v>1</v>
      </c>
      <c r="F275">
        <v>0</v>
      </c>
      <c r="G275" t="s">
        <v>25</v>
      </c>
      <c r="H275" t="s">
        <v>99</v>
      </c>
      <c r="I275" t="s">
        <v>15</v>
      </c>
      <c r="J275" t="s">
        <v>26</v>
      </c>
      <c r="L275">
        <v>4</v>
      </c>
      <c r="M275" s="1">
        <v>45298</v>
      </c>
    </row>
    <row r="276" spans="1:13" x14ac:dyDescent="0.35">
      <c r="A276" t="s">
        <v>528</v>
      </c>
      <c r="B276" t="s">
        <v>529</v>
      </c>
      <c r="C276" t="s">
        <v>119</v>
      </c>
      <c r="D276">
        <v>1</v>
      </c>
      <c r="E276">
        <v>1</v>
      </c>
      <c r="F276">
        <v>0</v>
      </c>
      <c r="G276" t="s">
        <v>25</v>
      </c>
      <c r="H276" t="s">
        <v>99</v>
      </c>
      <c r="I276" t="s">
        <v>105</v>
      </c>
      <c r="J276" t="s">
        <v>26</v>
      </c>
      <c r="L276">
        <v>6</v>
      </c>
      <c r="M276" s="1">
        <v>45370</v>
      </c>
    </row>
    <row r="277" spans="1:13" x14ac:dyDescent="0.35">
      <c r="A277" t="s">
        <v>530</v>
      </c>
      <c r="B277" t="s">
        <v>531</v>
      </c>
      <c r="C277" t="s">
        <v>45</v>
      </c>
      <c r="D277">
        <v>17</v>
      </c>
      <c r="E277">
        <v>17</v>
      </c>
      <c r="F277">
        <v>0</v>
      </c>
      <c r="G277" t="s">
        <v>14</v>
      </c>
      <c r="H277" t="s">
        <v>32</v>
      </c>
      <c r="I277" t="s">
        <v>15</v>
      </c>
      <c r="J277" t="s">
        <v>40</v>
      </c>
      <c r="L277">
        <v>6</v>
      </c>
      <c r="M277" s="1">
        <v>45380</v>
      </c>
    </row>
    <row r="278" spans="1:13" x14ac:dyDescent="0.35">
      <c r="A278" t="s">
        <v>2159</v>
      </c>
      <c r="B278" t="s">
        <v>158</v>
      </c>
      <c r="C278" t="s">
        <v>184</v>
      </c>
      <c r="D278">
        <v>9</v>
      </c>
      <c r="E278">
        <v>9</v>
      </c>
      <c r="F278">
        <v>0</v>
      </c>
      <c r="G278" t="s">
        <v>14</v>
      </c>
      <c r="H278" t="s">
        <v>99</v>
      </c>
      <c r="I278" t="s">
        <v>15</v>
      </c>
      <c r="J278" t="s">
        <v>26</v>
      </c>
      <c r="L278">
        <v>9</v>
      </c>
      <c r="M278" s="1">
        <v>45430</v>
      </c>
    </row>
    <row r="279" spans="1:13" x14ac:dyDescent="0.35">
      <c r="A279" t="s">
        <v>532</v>
      </c>
      <c r="B279" t="s">
        <v>533</v>
      </c>
      <c r="C279" t="s">
        <v>13</v>
      </c>
      <c r="D279">
        <v>38</v>
      </c>
      <c r="E279">
        <v>38</v>
      </c>
      <c r="F279">
        <v>0</v>
      </c>
      <c r="G279" t="s">
        <v>14</v>
      </c>
      <c r="H279" t="s">
        <v>19</v>
      </c>
      <c r="I279" t="s">
        <v>15</v>
      </c>
      <c r="J279" t="s">
        <v>37</v>
      </c>
      <c r="K279">
        <v>48010</v>
      </c>
      <c r="L279">
        <v>8</v>
      </c>
      <c r="M279" s="1">
        <v>45320</v>
      </c>
    </row>
    <row r="280" spans="1:13" x14ac:dyDescent="0.35">
      <c r="A280" t="s">
        <v>534</v>
      </c>
      <c r="B280" t="s">
        <v>535</v>
      </c>
      <c r="C280" t="s">
        <v>117</v>
      </c>
      <c r="D280">
        <v>31</v>
      </c>
      <c r="E280">
        <v>31</v>
      </c>
      <c r="F280">
        <v>0</v>
      </c>
      <c r="G280" t="s">
        <v>25</v>
      </c>
      <c r="H280" t="s">
        <v>99</v>
      </c>
      <c r="I280" t="s">
        <v>2153</v>
      </c>
      <c r="J280" t="s">
        <v>37</v>
      </c>
      <c r="K280">
        <v>30471</v>
      </c>
      <c r="L280">
        <v>2</v>
      </c>
      <c r="M280" s="1">
        <v>45317</v>
      </c>
    </row>
    <row r="281" spans="1:13" x14ac:dyDescent="0.35">
      <c r="A281" t="s">
        <v>536</v>
      </c>
      <c r="B281" t="s">
        <v>2045</v>
      </c>
      <c r="C281" t="s">
        <v>119</v>
      </c>
      <c r="D281">
        <v>9</v>
      </c>
      <c r="E281">
        <v>9</v>
      </c>
      <c r="F281">
        <v>0</v>
      </c>
      <c r="G281" t="s">
        <v>14</v>
      </c>
      <c r="H281" t="s">
        <v>99</v>
      </c>
      <c r="I281" t="s">
        <v>2153</v>
      </c>
      <c r="J281" t="s">
        <v>26</v>
      </c>
      <c r="L281">
        <v>8</v>
      </c>
      <c r="M281" s="1">
        <v>45545</v>
      </c>
    </row>
    <row r="282" spans="1:13" x14ac:dyDescent="0.35">
      <c r="A282" t="s">
        <v>537</v>
      </c>
      <c r="B282" t="s">
        <v>538</v>
      </c>
      <c r="C282" t="s">
        <v>69</v>
      </c>
      <c r="D282">
        <v>11</v>
      </c>
      <c r="E282">
        <v>11</v>
      </c>
      <c r="F282">
        <v>0</v>
      </c>
      <c r="G282" t="s">
        <v>25</v>
      </c>
      <c r="H282" t="s">
        <v>99</v>
      </c>
      <c r="I282" t="s">
        <v>15</v>
      </c>
      <c r="J282" t="s">
        <v>26</v>
      </c>
      <c r="L282">
        <v>8</v>
      </c>
      <c r="M282" s="1">
        <v>45420</v>
      </c>
    </row>
    <row r="283" spans="1:13" x14ac:dyDescent="0.35">
      <c r="A283" t="s">
        <v>539</v>
      </c>
      <c r="B283" t="s">
        <v>540</v>
      </c>
      <c r="C283" t="s">
        <v>130</v>
      </c>
      <c r="D283">
        <v>25</v>
      </c>
      <c r="E283">
        <v>25</v>
      </c>
      <c r="F283">
        <v>0</v>
      </c>
      <c r="G283" t="s">
        <v>25</v>
      </c>
      <c r="H283" t="s">
        <v>99</v>
      </c>
      <c r="I283" t="s">
        <v>88</v>
      </c>
      <c r="J283" t="s">
        <v>20</v>
      </c>
      <c r="K283">
        <v>71665</v>
      </c>
      <c r="L283">
        <v>8</v>
      </c>
      <c r="M283" s="1">
        <v>45365</v>
      </c>
    </row>
    <row r="284" spans="1:13" x14ac:dyDescent="0.35">
      <c r="A284" t="s">
        <v>541</v>
      </c>
      <c r="B284" t="s">
        <v>202</v>
      </c>
      <c r="C284" t="s">
        <v>154</v>
      </c>
      <c r="D284">
        <v>36</v>
      </c>
      <c r="E284">
        <v>36</v>
      </c>
      <c r="F284">
        <v>0</v>
      </c>
      <c r="G284" t="s">
        <v>14</v>
      </c>
      <c r="H284" t="s">
        <v>32</v>
      </c>
      <c r="I284" t="s">
        <v>2153</v>
      </c>
      <c r="J284" t="s">
        <v>40</v>
      </c>
      <c r="L284">
        <v>3</v>
      </c>
      <c r="M284" s="1">
        <v>45472</v>
      </c>
    </row>
    <row r="285" spans="1:13" x14ac:dyDescent="0.35">
      <c r="A285" t="s">
        <v>542</v>
      </c>
      <c r="B285" t="s">
        <v>255</v>
      </c>
      <c r="C285" t="s">
        <v>184</v>
      </c>
      <c r="D285">
        <v>60</v>
      </c>
      <c r="E285">
        <v>60</v>
      </c>
      <c r="F285">
        <v>0</v>
      </c>
      <c r="G285" t="s">
        <v>14</v>
      </c>
      <c r="H285" t="s">
        <v>99</v>
      </c>
      <c r="I285" t="s">
        <v>105</v>
      </c>
      <c r="J285" t="s">
        <v>16</v>
      </c>
      <c r="L285">
        <v>3</v>
      </c>
      <c r="M285" s="1">
        <v>45405</v>
      </c>
    </row>
    <row r="286" spans="1:13" x14ac:dyDescent="0.35">
      <c r="A286" t="s">
        <v>543</v>
      </c>
      <c r="B286" t="s">
        <v>444</v>
      </c>
      <c r="C286" t="s">
        <v>69</v>
      </c>
      <c r="D286">
        <v>46</v>
      </c>
      <c r="E286">
        <v>46</v>
      </c>
      <c r="F286">
        <v>0</v>
      </c>
      <c r="G286" t="s">
        <v>14</v>
      </c>
      <c r="H286" t="s">
        <v>19</v>
      </c>
      <c r="I286" t="s">
        <v>15</v>
      </c>
      <c r="J286" t="s">
        <v>37</v>
      </c>
      <c r="K286">
        <v>152982</v>
      </c>
      <c r="L286">
        <v>9</v>
      </c>
      <c r="M286" s="1">
        <v>45366</v>
      </c>
    </row>
    <row r="287" spans="1:13" x14ac:dyDescent="0.35">
      <c r="A287" t="s">
        <v>544</v>
      </c>
      <c r="B287" t="s">
        <v>545</v>
      </c>
      <c r="C287" t="s">
        <v>29</v>
      </c>
      <c r="D287">
        <v>28</v>
      </c>
      <c r="E287">
        <v>28</v>
      </c>
      <c r="F287">
        <v>0</v>
      </c>
      <c r="G287" t="s">
        <v>14</v>
      </c>
      <c r="H287" t="s">
        <v>19</v>
      </c>
      <c r="I287" t="s">
        <v>105</v>
      </c>
      <c r="J287" t="s">
        <v>37</v>
      </c>
      <c r="K287">
        <v>69870</v>
      </c>
      <c r="L287">
        <v>5</v>
      </c>
      <c r="M287" s="1">
        <v>45472</v>
      </c>
    </row>
    <row r="288" spans="1:13" x14ac:dyDescent="0.35">
      <c r="A288" t="s">
        <v>546</v>
      </c>
      <c r="B288" t="s">
        <v>547</v>
      </c>
      <c r="C288" t="s">
        <v>69</v>
      </c>
      <c r="D288">
        <v>29</v>
      </c>
      <c r="E288">
        <v>29</v>
      </c>
      <c r="F288">
        <v>0</v>
      </c>
      <c r="G288" t="s">
        <v>25</v>
      </c>
      <c r="H288" t="s">
        <v>99</v>
      </c>
      <c r="I288" t="s">
        <v>88</v>
      </c>
      <c r="J288" t="s">
        <v>20</v>
      </c>
      <c r="K288">
        <v>62803</v>
      </c>
      <c r="L288">
        <v>6</v>
      </c>
      <c r="M288" s="1">
        <v>45447</v>
      </c>
    </row>
    <row r="289" spans="1:13" x14ac:dyDescent="0.35">
      <c r="A289" t="s">
        <v>548</v>
      </c>
      <c r="B289" t="s">
        <v>212</v>
      </c>
      <c r="C289" t="s">
        <v>45</v>
      </c>
      <c r="D289">
        <v>37</v>
      </c>
      <c r="E289">
        <v>37</v>
      </c>
      <c r="F289">
        <v>0</v>
      </c>
      <c r="G289" t="s">
        <v>25</v>
      </c>
      <c r="H289" t="s">
        <v>19</v>
      </c>
      <c r="I289" t="s">
        <v>88</v>
      </c>
      <c r="J289" t="s">
        <v>37</v>
      </c>
      <c r="K289">
        <v>30000</v>
      </c>
      <c r="L289">
        <v>1</v>
      </c>
      <c r="M289" s="1">
        <v>45333</v>
      </c>
    </row>
    <row r="290" spans="1:13" x14ac:dyDescent="0.35">
      <c r="A290" t="s">
        <v>549</v>
      </c>
      <c r="B290" t="s">
        <v>550</v>
      </c>
      <c r="C290" t="s">
        <v>172</v>
      </c>
      <c r="D290">
        <v>35</v>
      </c>
      <c r="E290">
        <v>35</v>
      </c>
      <c r="F290">
        <v>0</v>
      </c>
      <c r="G290" t="s">
        <v>25</v>
      </c>
      <c r="H290" t="s">
        <v>99</v>
      </c>
      <c r="I290" t="s">
        <v>15</v>
      </c>
      <c r="J290" t="s">
        <v>40</v>
      </c>
      <c r="L290">
        <v>6</v>
      </c>
      <c r="M290" s="1">
        <v>45581</v>
      </c>
    </row>
    <row r="291" spans="1:13" x14ac:dyDescent="0.35">
      <c r="A291" t="s">
        <v>551</v>
      </c>
      <c r="B291" t="s">
        <v>342</v>
      </c>
      <c r="C291" t="s">
        <v>117</v>
      </c>
      <c r="D291">
        <v>10</v>
      </c>
      <c r="E291">
        <v>10</v>
      </c>
      <c r="F291">
        <v>0</v>
      </c>
      <c r="G291" t="s">
        <v>14</v>
      </c>
      <c r="H291" t="s">
        <v>99</v>
      </c>
      <c r="I291" t="s">
        <v>15</v>
      </c>
      <c r="J291" t="s">
        <v>26</v>
      </c>
      <c r="L291">
        <v>2</v>
      </c>
      <c r="M291" s="1">
        <v>45581</v>
      </c>
    </row>
    <row r="292" spans="1:13" x14ac:dyDescent="0.35">
      <c r="A292" t="s">
        <v>552</v>
      </c>
      <c r="B292" t="s">
        <v>553</v>
      </c>
      <c r="C292" t="s">
        <v>29</v>
      </c>
      <c r="D292">
        <v>38</v>
      </c>
      <c r="E292">
        <v>38</v>
      </c>
      <c r="F292">
        <v>0</v>
      </c>
      <c r="G292" t="s">
        <v>25</v>
      </c>
      <c r="H292" t="s">
        <v>32</v>
      </c>
      <c r="I292" t="s">
        <v>88</v>
      </c>
      <c r="J292" t="s">
        <v>20</v>
      </c>
      <c r="K292">
        <v>45338</v>
      </c>
      <c r="L292">
        <v>4</v>
      </c>
      <c r="M292" s="1">
        <v>45488</v>
      </c>
    </row>
    <row r="293" spans="1:13" x14ac:dyDescent="0.35">
      <c r="A293" t="s">
        <v>554</v>
      </c>
      <c r="B293" t="s">
        <v>555</v>
      </c>
      <c r="C293" t="s">
        <v>45</v>
      </c>
      <c r="D293">
        <v>32</v>
      </c>
      <c r="E293">
        <v>32</v>
      </c>
      <c r="F293">
        <v>0</v>
      </c>
      <c r="G293" t="s">
        <v>25</v>
      </c>
      <c r="H293" t="s">
        <v>32</v>
      </c>
      <c r="I293" t="s">
        <v>15</v>
      </c>
      <c r="J293" t="s">
        <v>16</v>
      </c>
      <c r="L293">
        <v>4</v>
      </c>
      <c r="M293" s="1">
        <v>45355</v>
      </c>
    </row>
    <row r="294" spans="1:13" x14ac:dyDescent="0.35">
      <c r="A294" t="s">
        <v>556</v>
      </c>
      <c r="B294" t="s">
        <v>557</v>
      </c>
      <c r="C294" t="s">
        <v>172</v>
      </c>
      <c r="D294">
        <v>46</v>
      </c>
      <c r="E294">
        <v>46</v>
      </c>
      <c r="F294">
        <v>0</v>
      </c>
      <c r="G294" t="s">
        <v>14</v>
      </c>
      <c r="H294" t="s">
        <v>99</v>
      </c>
      <c r="I294" t="s">
        <v>15</v>
      </c>
      <c r="J294" t="s">
        <v>37</v>
      </c>
      <c r="K294">
        <v>77078</v>
      </c>
      <c r="L294">
        <v>8</v>
      </c>
      <c r="M294" s="1">
        <v>45416</v>
      </c>
    </row>
    <row r="295" spans="1:13" x14ac:dyDescent="0.35">
      <c r="A295" t="s">
        <v>558</v>
      </c>
      <c r="B295" t="s">
        <v>281</v>
      </c>
      <c r="C295" t="s">
        <v>117</v>
      </c>
      <c r="D295">
        <v>46</v>
      </c>
      <c r="E295">
        <v>46</v>
      </c>
      <c r="F295">
        <v>0</v>
      </c>
      <c r="G295" t="s">
        <v>25</v>
      </c>
      <c r="H295" t="s">
        <v>32</v>
      </c>
      <c r="I295" t="s">
        <v>15</v>
      </c>
      <c r="J295" t="s">
        <v>16</v>
      </c>
      <c r="L295">
        <v>2</v>
      </c>
      <c r="M295" s="1">
        <v>45500</v>
      </c>
    </row>
    <row r="296" spans="1:13" x14ac:dyDescent="0.35">
      <c r="A296" t="s">
        <v>559</v>
      </c>
      <c r="B296" t="s">
        <v>560</v>
      </c>
      <c r="C296" t="s">
        <v>154</v>
      </c>
      <c r="D296">
        <v>33</v>
      </c>
      <c r="E296">
        <v>33</v>
      </c>
      <c r="F296">
        <v>0</v>
      </c>
      <c r="G296" t="s">
        <v>14</v>
      </c>
      <c r="H296" t="s">
        <v>19</v>
      </c>
      <c r="I296" t="s">
        <v>105</v>
      </c>
      <c r="J296" t="s">
        <v>40</v>
      </c>
      <c r="L296">
        <v>7</v>
      </c>
      <c r="M296" s="1">
        <v>45329</v>
      </c>
    </row>
    <row r="297" spans="1:13" x14ac:dyDescent="0.35">
      <c r="A297" t="s">
        <v>561</v>
      </c>
      <c r="B297" t="s">
        <v>562</v>
      </c>
      <c r="C297" t="s">
        <v>29</v>
      </c>
      <c r="D297">
        <v>35</v>
      </c>
      <c r="E297">
        <v>35</v>
      </c>
      <c r="F297">
        <v>0</v>
      </c>
      <c r="G297" t="s">
        <v>14</v>
      </c>
      <c r="H297" t="s">
        <v>19</v>
      </c>
      <c r="I297" t="s">
        <v>105</v>
      </c>
      <c r="J297" t="s">
        <v>37</v>
      </c>
      <c r="K297">
        <v>46196</v>
      </c>
      <c r="L297">
        <v>4</v>
      </c>
      <c r="M297" s="1">
        <v>45509</v>
      </c>
    </row>
    <row r="298" spans="1:13" x14ac:dyDescent="0.35">
      <c r="A298" t="s">
        <v>563</v>
      </c>
      <c r="B298" t="s">
        <v>564</v>
      </c>
      <c r="C298" t="s">
        <v>45</v>
      </c>
      <c r="D298">
        <v>30</v>
      </c>
      <c r="E298">
        <v>30</v>
      </c>
      <c r="F298">
        <v>0</v>
      </c>
      <c r="G298" t="s">
        <v>25</v>
      </c>
      <c r="H298" t="s">
        <v>58</v>
      </c>
      <c r="I298" t="s">
        <v>15</v>
      </c>
      <c r="J298" t="s">
        <v>26</v>
      </c>
      <c r="L298">
        <v>2</v>
      </c>
      <c r="M298" s="1">
        <v>45328</v>
      </c>
    </row>
    <row r="299" spans="1:13" x14ac:dyDescent="0.35">
      <c r="A299" t="s">
        <v>565</v>
      </c>
      <c r="B299" t="s">
        <v>538</v>
      </c>
      <c r="C299" t="s">
        <v>69</v>
      </c>
      <c r="D299">
        <v>51</v>
      </c>
      <c r="E299">
        <v>51</v>
      </c>
      <c r="F299">
        <v>0</v>
      </c>
      <c r="G299" t="s">
        <v>25</v>
      </c>
      <c r="H299" t="s">
        <v>19</v>
      </c>
      <c r="I299" t="s">
        <v>2153</v>
      </c>
      <c r="J299" t="s">
        <v>16</v>
      </c>
      <c r="L299">
        <v>8</v>
      </c>
      <c r="M299" s="1">
        <v>45632</v>
      </c>
    </row>
    <row r="300" spans="1:13" x14ac:dyDescent="0.35">
      <c r="A300" t="s">
        <v>566</v>
      </c>
      <c r="B300" t="s">
        <v>567</v>
      </c>
      <c r="C300" t="s">
        <v>119</v>
      </c>
      <c r="D300">
        <v>27</v>
      </c>
      <c r="E300">
        <v>27</v>
      </c>
      <c r="F300">
        <v>0</v>
      </c>
      <c r="G300" t="s">
        <v>14</v>
      </c>
      <c r="H300" t="s">
        <v>58</v>
      </c>
      <c r="I300" t="s">
        <v>105</v>
      </c>
      <c r="J300" t="s">
        <v>16</v>
      </c>
      <c r="L300">
        <v>4</v>
      </c>
      <c r="M300" s="1">
        <v>45405</v>
      </c>
    </row>
    <row r="301" spans="1:13" x14ac:dyDescent="0.35">
      <c r="A301" t="s">
        <v>568</v>
      </c>
      <c r="B301" t="s">
        <v>569</v>
      </c>
      <c r="C301" t="s">
        <v>69</v>
      </c>
      <c r="D301">
        <v>1</v>
      </c>
      <c r="E301">
        <v>1</v>
      </c>
      <c r="F301">
        <v>0</v>
      </c>
      <c r="G301" t="s">
        <v>25</v>
      </c>
      <c r="H301" t="s">
        <v>99</v>
      </c>
      <c r="I301" t="s">
        <v>88</v>
      </c>
      <c r="J301" t="s">
        <v>26</v>
      </c>
      <c r="L301">
        <v>4</v>
      </c>
      <c r="M301" s="1">
        <v>45454</v>
      </c>
    </row>
    <row r="302" spans="1:13" x14ac:dyDescent="0.35">
      <c r="A302" t="s">
        <v>570</v>
      </c>
      <c r="B302" t="s">
        <v>571</v>
      </c>
      <c r="C302" t="s">
        <v>29</v>
      </c>
      <c r="D302">
        <v>12</v>
      </c>
      <c r="E302">
        <v>12</v>
      </c>
      <c r="F302">
        <v>0</v>
      </c>
      <c r="G302" t="s">
        <v>25</v>
      </c>
      <c r="H302" t="s">
        <v>99</v>
      </c>
      <c r="I302" t="s">
        <v>105</v>
      </c>
      <c r="J302" t="s">
        <v>26</v>
      </c>
      <c r="L302">
        <v>3</v>
      </c>
      <c r="M302" s="1">
        <v>45472</v>
      </c>
    </row>
    <row r="303" spans="1:13" x14ac:dyDescent="0.35">
      <c r="A303" t="s">
        <v>572</v>
      </c>
      <c r="B303" t="s">
        <v>573</v>
      </c>
      <c r="C303" t="s">
        <v>13</v>
      </c>
      <c r="D303">
        <v>14</v>
      </c>
      <c r="E303">
        <v>14</v>
      </c>
      <c r="F303">
        <v>0</v>
      </c>
      <c r="G303" t="s">
        <v>14</v>
      </c>
      <c r="H303" t="s">
        <v>99</v>
      </c>
      <c r="I303" t="s">
        <v>105</v>
      </c>
      <c r="J303" t="s">
        <v>26</v>
      </c>
      <c r="L303">
        <v>6</v>
      </c>
      <c r="M303" s="1">
        <v>45378</v>
      </c>
    </row>
    <row r="304" spans="1:13" x14ac:dyDescent="0.35">
      <c r="A304" t="s">
        <v>574</v>
      </c>
      <c r="B304" t="s">
        <v>302</v>
      </c>
      <c r="C304" t="s">
        <v>13</v>
      </c>
      <c r="D304">
        <v>16</v>
      </c>
      <c r="E304">
        <v>16</v>
      </c>
      <c r="F304">
        <v>0</v>
      </c>
      <c r="G304" t="s">
        <v>25</v>
      </c>
      <c r="H304" t="s">
        <v>58</v>
      </c>
      <c r="I304" t="s">
        <v>2154</v>
      </c>
      <c r="J304" t="s">
        <v>20</v>
      </c>
      <c r="K304">
        <v>61415</v>
      </c>
      <c r="L304">
        <v>9</v>
      </c>
      <c r="M304" s="1">
        <v>45346</v>
      </c>
    </row>
    <row r="305" spans="1:13" x14ac:dyDescent="0.35">
      <c r="A305" t="s">
        <v>575</v>
      </c>
      <c r="B305" t="s">
        <v>576</v>
      </c>
      <c r="C305" t="s">
        <v>154</v>
      </c>
      <c r="D305">
        <v>34</v>
      </c>
      <c r="E305">
        <v>34</v>
      </c>
      <c r="F305">
        <v>0</v>
      </c>
      <c r="G305" t="s">
        <v>14</v>
      </c>
      <c r="H305" t="s">
        <v>58</v>
      </c>
      <c r="I305" t="s">
        <v>2153</v>
      </c>
      <c r="J305" t="s">
        <v>40</v>
      </c>
      <c r="L305">
        <v>6</v>
      </c>
      <c r="M305" s="1">
        <v>45382</v>
      </c>
    </row>
    <row r="306" spans="1:13" x14ac:dyDescent="0.35">
      <c r="A306" t="s">
        <v>577</v>
      </c>
      <c r="B306" t="s">
        <v>578</v>
      </c>
      <c r="C306" t="s">
        <v>130</v>
      </c>
      <c r="D306">
        <v>28</v>
      </c>
      <c r="E306">
        <v>28</v>
      </c>
      <c r="F306">
        <v>0</v>
      </c>
      <c r="G306" t="s">
        <v>25</v>
      </c>
      <c r="H306" t="s">
        <v>19</v>
      </c>
      <c r="I306" t="s">
        <v>88</v>
      </c>
      <c r="J306" t="s">
        <v>37</v>
      </c>
      <c r="K306">
        <v>40417</v>
      </c>
      <c r="L306">
        <v>7</v>
      </c>
      <c r="M306" s="1">
        <v>45303</v>
      </c>
    </row>
    <row r="307" spans="1:13" x14ac:dyDescent="0.35">
      <c r="A307" t="s">
        <v>2160</v>
      </c>
      <c r="B307" t="s">
        <v>526</v>
      </c>
      <c r="C307" t="s">
        <v>117</v>
      </c>
      <c r="D307">
        <v>31</v>
      </c>
      <c r="E307">
        <v>31</v>
      </c>
      <c r="F307">
        <v>0</v>
      </c>
      <c r="G307" t="s">
        <v>25</v>
      </c>
      <c r="H307" t="s">
        <v>99</v>
      </c>
      <c r="I307" t="s">
        <v>88</v>
      </c>
      <c r="J307" t="s">
        <v>26</v>
      </c>
      <c r="L307">
        <v>2</v>
      </c>
      <c r="M307" s="1">
        <v>45479</v>
      </c>
    </row>
    <row r="308" spans="1:13" x14ac:dyDescent="0.35">
      <c r="A308" t="s">
        <v>579</v>
      </c>
      <c r="B308" t="s">
        <v>580</v>
      </c>
      <c r="C308" t="s">
        <v>117</v>
      </c>
      <c r="D308">
        <v>1</v>
      </c>
      <c r="E308">
        <v>1</v>
      </c>
      <c r="F308">
        <v>0</v>
      </c>
      <c r="G308" t="s">
        <v>25</v>
      </c>
      <c r="H308" t="s">
        <v>99</v>
      </c>
      <c r="I308" t="s">
        <v>105</v>
      </c>
      <c r="J308" t="s">
        <v>26</v>
      </c>
      <c r="L308">
        <v>3</v>
      </c>
      <c r="M308" s="1">
        <v>45543</v>
      </c>
    </row>
    <row r="309" spans="1:13" x14ac:dyDescent="0.35">
      <c r="A309" t="s">
        <v>581</v>
      </c>
      <c r="B309" t="s">
        <v>233</v>
      </c>
      <c r="C309" t="s">
        <v>154</v>
      </c>
      <c r="D309">
        <v>15</v>
      </c>
      <c r="E309">
        <v>15</v>
      </c>
      <c r="F309">
        <v>0</v>
      </c>
      <c r="G309" t="s">
        <v>25</v>
      </c>
      <c r="H309" t="s">
        <v>58</v>
      </c>
      <c r="I309" t="s">
        <v>88</v>
      </c>
      <c r="J309" t="s">
        <v>26</v>
      </c>
      <c r="L309">
        <v>1</v>
      </c>
      <c r="M309" s="1">
        <v>45457</v>
      </c>
    </row>
    <row r="310" spans="1:13" x14ac:dyDescent="0.35">
      <c r="A310" t="s">
        <v>582</v>
      </c>
      <c r="B310" t="s">
        <v>377</v>
      </c>
      <c r="C310" t="s">
        <v>130</v>
      </c>
      <c r="D310">
        <v>10</v>
      </c>
      <c r="E310">
        <v>10</v>
      </c>
      <c r="F310">
        <v>0</v>
      </c>
      <c r="G310" t="s">
        <v>14</v>
      </c>
      <c r="H310" t="s">
        <v>99</v>
      </c>
      <c r="I310" t="s">
        <v>2154</v>
      </c>
      <c r="J310" t="s">
        <v>26</v>
      </c>
      <c r="L310">
        <v>5</v>
      </c>
      <c r="M310" s="1">
        <v>45334</v>
      </c>
    </row>
    <row r="311" spans="1:13" x14ac:dyDescent="0.35">
      <c r="A311" t="s">
        <v>583</v>
      </c>
      <c r="B311" t="s">
        <v>584</v>
      </c>
      <c r="C311" t="s">
        <v>29</v>
      </c>
      <c r="D311">
        <v>26</v>
      </c>
      <c r="E311">
        <v>26</v>
      </c>
      <c r="F311">
        <v>0</v>
      </c>
      <c r="G311" t="s">
        <v>25</v>
      </c>
      <c r="H311" t="s">
        <v>99</v>
      </c>
      <c r="I311" t="s">
        <v>15</v>
      </c>
      <c r="J311" t="s">
        <v>16</v>
      </c>
      <c r="L311">
        <v>7</v>
      </c>
      <c r="M311" s="1">
        <v>45441</v>
      </c>
    </row>
    <row r="312" spans="1:13" x14ac:dyDescent="0.35">
      <c r="A312" t="s">
        <v>585</v>
      </c>
      <c r="B312" t="s">
        <v>586</v>
      </c>
      <c r="C312" t="s">
        <v>69</v>
      </c>
      <c r="D312">
        <v>42</v>
      </c>
      <c r="E312">
        <v>42</v>
      </c>
      <c r="F312">
        <v>0</v>
      </c>
      <c r="G312" t="s">
        <v>25</v>
      </c>
      <c r="H312" t="s">
        <v>19</v>
      </c>
      <c r="I312" t="s">
        <v>15</v>
      </c>
      <c r="J312" t="s">
        <v>37</v>
      </c>
      <c r="K312">
        <v>32939</v>
      </c>
      <c r="L312">
        <v>9</v>
      </c>
      <c r="M312" s="1">
        <v>45521</v>
      </c>
    </row>
    <row r="313" spans="1:13" x14ac:dyDescent="0.35">
      <c r="A313" t="s">
        <v>587</v>
      </c>
      <c r="B313" t="s">
        <v>588</v>
      </c>
      <c r="C313" t="s">
        <v>130</v>
      </c>
      <c r="D313">
        <v>17</v>
      </c>
      <c r="E313">
        <v>17</v>
      </c>
      <c r="F313">
        <v>0</v>
      </c>
      <c r="G313" t="s">
        <v>14</v>
      </c>
      <c r="H313" t="s">
        <v>19</v>
      </c>
      <c r="I313" t="s">
        <v>15</v>
      </c>
      <c r="J313" t="s">
        <v>37</v>
      </c>
      <c r="K313">
        <v>92216</v>
      </c>
      <c r="L313">
        <v>7</v>
      </c>
      <c r="M313" s="1">
        <v>45492</v>
      </c>
    </row>
    <row r="314" spans="1:13" x14ac:dyDescent="0.35">
      <c r="A314" t="s">
        <v>589</v>
      </c>
      <c r="B314" t="s">
        <v>567</v>
      </c>
      <c r="C314" t="s">
        <v>130</v>
      </c>
      <c r="D314">
        <v>41</v>
      </c>
      <c r="E314">
        <v>41</v>
      </c>
      <c r="F314">
        <v>0</v>
      </c>
      <c r="G314" t="s">
        <v>14</v>
      </c>
      <c r="H314" t="s">
        <v>32</v>
      </c>
      <c r="I314" t="s">
        <v>88</v>
      </c>
      <c r="J314" t="s">
        <v>40</v>
      </c>
      <c r="L314">
        <v>8</v>
      </c>
      <c r="M314" s="1">
        <v>45578</v>
      </c>
    </row>
    <row r="315" spans="1:13" x14ac:dyDescent="0.35">
      <c r="A315" t="s">
        <v>590</v>
      </c>
      <c r="B315" t="s">
        <v>176</v>
      </c>
      <c r="C315" t="s">
        <v>130</v>
      </c>
      <c r="D315">
        <v>34</v>
      </c>
      <c r="F315">
        <v>1</v>
      </c>
      <c r="G315" t="s">
        <v>14</v>
      </c>
      <c r="H315" t="s">
        <v>58</v>
      </c>
      <c r="I315" t="s">
        <v>2153</v>
      </c>
      <c r="J315" t="s">
        <v>40</v>
      </c>
      <c r="L315">
        <v>8</v>
      </c>
      <c r="M315" s="1">
        <v>45385</v>
      </c>
    </row>
    <row r="316" spans="1:13" x14ac:dyDescent="0.35">
      <c r="A316" t="s">
        <v>591</v>
      </c>
      <c r="B316" t="s">
        <v>592</v>
      </c>
      <c r="C316" t="s">
        <v>172</v>
      </c>
      <c r="D316">
        <v>22</v>
      </c>
      <c r="E316">
        <v>22</v>
      </c>
      <c r="F316">
        <v>0</v>
      </c>
      <c r="G316" t="s">
        <v>14</v>
      </c>
      <c r="H316" t="s">
        <v>19</v>
      </c>
      <c r="I316" t="s">
        <v>15</v>
      </c>
      <c r="J316" t="s">
        <v>40</v>
      </c>
      <c r="L316">
        <v>8</v>
      </c>
      <c r="M316" s="1">
        <v>45470</v>
      </c>
    </row>
    <row r="317" spans="1:13" x14ac:dyDescent="0.35">
      <c r="A317" t="s">
        <v>593</v>
      </c>
      <c r="B317" t="s">
        <v>594</v>
      </c>
      <c r="C317" t="s">
        <v>13</v>
      </c>
      <c r="D317">
        <v>34</v>
      </c>
      <c r="E317">
        <v>34</v>
      </c>
      <c r="F317">
        <v>0</v>
      </c>
      <c r="G317" t="s">
        <v>14</v>
      </c>
      <c r="H317" t="s">
        <v>58</v>
      </c>
      <c r="I317" t="s">
        <v>88</v>
      </c>
      <c r="J317" t="s">
        <v>16</v>
      </c>
      <c r="L317">
        <v>7</v>
      </c>
      <c r="M317" s="1">
        <v>45558</v>
      </c>
    </row>
    <row r="318" spans="1:13" x14ac:dyDescent="0.35">
      <c r="A318" t="s">
        <v>595</v>
      </c>
      <c r="B318" t="s">
        <v>596</v>
      </c>
      <c r="C318" t="s">
        <v>117</v>
      </c>
      <c r="D318">
        <v>49</v>
      </c>
      <c r="E318">
        <v>49</v>
      </c>
      <c r="F318">
        <v>0</v>
      </c>
      <c r="G318" t="s">
        <v>25</v>
      </c>
      <c r="H318" t="s">
        <v>32</v>
      </c>
      <c r="I318" t="s">
        <v>15</v>
      </c>
      <c r="J318" t="s">
        <v>40</v>
      </c>
      <c r="L318">
        <v>5</v>
      </c>
      <c r="M318" s="1">
        <v>45515</v>
      </c>
    </row>
    <row r="319" spans="1:13" x14ac:dyDescent="0.35">
      <c r="A319" t="s">
        <v>597</v>
      </c>
      <c r="B319" t="s">
        <v>598</v>
      </c>
      <c r="C319" t="s">
        <v>154</v>
      </c>
      <c r="D319">
        <v>30</v>
      </c>
      <c r="E319">
        <v>30</v>
      </c>
      <c r="F319">
        <v>0</v>
      </c>
      <c r="G319" t="s">
        <v>14</v>
      </c>
      <c r="H319" t="s">
        <v>19</v>
      </c>
      <c r="I319" t="s">
        <v>15</v>
      </c>
      <c r="J319" t="s">
        <v>37</v>
      </c>
      <c r="K319">
        <v>30000</v>
      </c>
      <c r="L319">
        <v>8</v>
      </c>
      <c r="M319" s="1">
        <v>45437</v>
      </c>
    </row>
    <row r="320" spans="1:13" x14ac:dyDescent="0.35">
      <c r="A320" t="s">
        <v>599</v>
      </c>
      <c r="B320" t="s">
        <v>269</v>
      </c>
      <c r="C320" t="s">
        <v>154</v>
      </c>
      <c r="D320">
        <v>23</v>
      </c>
      <c r="E320">
        <v>23</v>
      </c>
      <c r="F320">
        <v>0</v>
      </c>
      <c r="G320" t="s">
        <v>14</v>
      </c>
      <c r="H320" t="s">
        <v>19</v>
      </c>
      <c r="I320" t="s">
        <v>2154</v>
      </c>
      <c r="J320" t="s">
        <v>20</v>
      </c>
      <c r="K320">
        <v>32933</v>
      </c>
      <c r="L320">
        <v>9</v>
      </c>
      <c r="M320" s="1">
        <v>45361</v>
      </c>
    </row>
    <row r="321" spans="1:13" x14ac:dyDescent="0.35">
      <c r="A321" t="s">
        <v>600</v>
      </c>
      <c r="B321" t="s">
        <v>601</v>
      </c>
      <c r="C321" t="s">
        <v>119</v>
      </c>
      <c r="D321">
        <v>34</v>
      </c>
      <c r="E321">
        <v>34</v>
      </c>
      <c r="F321">
        <v>0</v>
      </c>
      <c r="G321" t="s">
        <v>25</v>
      </c>
      <c r="H321" t="s">
        <v>19</v>
      </c>
      <c r="I321" t="s">
        <v>2153</v>
      </c>
      <c r="J321" t="s">
        <v>37</v>
      </c>
      <c r="K321">
        <v>49903</v>
      </c>
      <c r="L321">
        <v>7</v>
      </c>
      <c r="M321" s="1">
        <v>45380</v>
      </c>
    </row>
    <row r="322" spans="1:13" x14ac:dyDescent="0.35">
      <c r="A322" t="s">
        <v>602</v>
      </c>
      <c r="B322" t="s">
        <v>603</v>
      </c>
      <c r="C322" t="s">
        <v>130</v>
      </c>
      <c r="D322">
        <v>46</v>
      </c>
      <c r="E322">
        <v>46</v>
      </c>
      <c r="F322">
        <v>0</v>
      </c>
      <c r="G322" t="s">
        <v>25</v>
      </c>
      <c r="H322" t="s">
        <v>19</v>
      </c>
      <c r="I322" t="s">
        <v>15</v>
      </c>
      <c r="J322" t="s">
        <v>40</v>
      </c>
      <c r="L322">
        <v>1</v>
      </c>
      <c r="M322" s="1">
        <v>45525</v>
      </c>
    </row>
    <row r="323" spans="1:13" x14ac:dyDescent="0.35">
      <c r="A323" t="s">
        <v>604</v>
      </c>
      <c r="B323" t="s">
        <v>605</v>
      </c>
      <c r="C323" t="s">
        <v>69</v>
      </c>
      <c r="D323">
        <v>42</v>
      </c>
      <c r="E323">
        <v>42</v>
      </c>
      <c r="F323">
        <v>0</v>
      </c>
      <c r="G323" t="s">
        <v>25</v>
      </c>
      <c r="H323" t="s">
        <v>99</v>
      </c>
      <c r="I323" t="s">
        <v>2153</v>
      </c>
      <c r="J323" t="s">
        <v>20</v>
      </c>
      <c r="K323">
        <v>50479</v>
      </c>
      <c r="L323">
        <v>9</v>
      </c>
      <c r="M323" s="1">
        <v>45452</v>
      </c>
    </row>
    <row r="324" spans="1:13" x14ac:dyDescent="0.35">
      <c r="A324" t="s">
        <v>606</v>
      </c>
      <c r="B324" t="s">
        <v>42</v>
      </c>
      <c r="C324" t="s">
        <v>119</v>
      </c>
      <c r="D324">
        <v>30</v>
      </c>
      <c r="E324">
        <v>30</v>
      </c>
      <c r="F324">
        <v>0</v>
      </c>
      <c r="G324" t="s">
        <v>25</v>
      </c>
      <c r="H324" t="s">
        <v>99</v>
      </c>
      <c r="I324" t="s">
        <v>15</v>
      </c>
      <c r="J324" t="s">
        <v>16</v>
      </c>
      <c r="L324">
        <v>8</v>
      </c>
      <c r="M324" s="1">
        <v>45563</v>
      </c>
    </row>
    <row r="325" spans="1:13" x14ac:dyDescent="0.35">
      <c r="A325" t="s">
        <v>607</v>
      </c>
      <c r="B325" t="s">
        <v>608</v>
      </c>
      <c r="C325" t="s">
        <v>172</v>
      </c>
      <c r="D325">
        <v>13</v>
      </c>
      <c r="E325">
        <v>13</v>
      </c>
      <c r="F325">
        <v>0</v>
      </c>
      <c r="G325" t="s">
        <v>25</v>
      </c>
      <c r="H325" t="s">
        <v>99</v>
      </c>
      <c r="I325" t="s">
        <v>15</v>
      </c>
      <c r="J325" t="s">
        <v>26</v>
      </c>
      <c r="L325">
        <v>4</v>
      </c>
      <c r="M325" s="1">
        <v>45318</v>
      </c>
    </row>
    <row r="326" spans="1:13" x14ac:dyDescent="0.35">
      <c r="A326" t="s">
        <v>609</v>
      </c>
      <c r="B326" t="s">
        <v>610</v>
      </c>
      <c r="C326" t="s">
        <v>119</v>
      </c>
      <c r="D326">
        <v>31</v>
      </c>
      <c r="E326">
        <v>31</v>
      </c>
      <c r="F326">
        <v>0</v>
      </c>
      <c r="G326" t="s">
        <v>25</v>
      </c>
      <c r="H326" t="s">
        <v>19</v>
      </c>
      <c r="I326" t="s">
        <v>88</v>
      </c>
      <c r="J326" t="s">
        <v>37</v>
      </c>
      <c r="K326">
        <v>30000</v>
      </c>
      <c r="L326">
        <v>4</v>
      </c>
      <c r="M326" s="1">
        <v>45308</v>
      </c>
    </row>
    <row r="327" spans="1:13" x14ac:dyDescent="0.35">
      <c r="A327" t="s">
        <v>611</v>
      </c>
      <c r="B327" t="s">
        <v>612</v>
      </c>
      <c r="C327" t="s">
        <v>69</v>
      </c>
      <c r="D327">
        <v>52</v>
      </c>
      <c r="E327">
        <v>52</v>
      </c>
      <c r="F327">
        <v>0</v>
      </c>
      <c r="G327" t="s">
        <v>25</v>
      </c>
      <c r="H327" t="s">
        <v>99</v>
      </c>
      <c r="I327" t="s">
        <v>105</v>
      </c>
      <c r="J327" t="s">
        <v>40</v>
      </c>
      <c r="L327">
        <v>7</v>
      </c>
      <c r="M327" s="1">
        <v>45406</v>
      </c>
    </row>
    <row r="328" spans="1:13" x14ac:dyDescent="0.35">
      <c r="A328" t="s">
        <v>613</v>
      </c>
      <c r="B328" t="s">
        <v>614</v>
      </c>
      <c r="C328" t="s">
        <v>172</v>
      </c>
      <c r="D328">
        <v>49</v>
      </c>
      <c r="E328">
        <v>49</v>
      </c>
      <c r="F328">
        <v>0</v>
      </c>
      <c r="G328" t="s">
        <v>25</v>
      </c>
      <c r="H328" t="s">
        <v>58</v>
      </c>
      <c r="I328" t="s">
        <v>105</v>
      </c>
      <c r="J328" t="s">
        <v>26</v>
      </c>
      <c r="L328">
        <v>1</v>
      </c>
      <c r="M328" s="1">
        <v>45521</v>
      </c>
    </row>
    <row r="329" spans="1:13" x14ac:dyDescent="0.35">
      <c r="A329" t="s">
        <v>615</v>
      </c>
      <c r="B329" t="s">
        <v>616</v>
      </c>
      <c r="C329" t="s">
        <v>172</v>
      </c>
      <c r="D329">
        <v>37</v>
      </c>
      <c r="E329">
        <v>37</v>
      </c>
      <c r="F329">
        <v>0</v>
      </c>
      <c r="G329" t="s">
        <v>14</v>
      </c>
      <c r="H329" t="s">
        <v>99</v>
      </c>
      <c r="I329" t="s">
        <v>15</v>
      </c>
      <c r="J329" t="s">
        <v>20</v>
      </c>
      <c r="K329">
        <v>31220</v>
      </c>
      <c r="L329">
        <v>7</v>
      </c>
      <c r="M329" s="1">
        <v>45316</v>
      </c>
    </row>
    <row r="330" spans="1:13" x14ac:dyDescent="0.35">
      <c r="A330" t="s">
        <v>617</v>
      </c>
      <c r="B330" t="s">
        <v>618</v>
      </c>
      <c r="C330" t="s">
        <v>119</v>
      </c>
      <c r="D330">
        <v>39</v>
      </c>
      <c r="E330">
        <v>39</v>
      </c>
      <c r="F330">
        <v>0</v>
      </c>
      <c r="G330" t="s">
        <v>25</v>
      </c>
      <c r="H330" t="s">
        <v>58</v>
      </c>
      <c r="I330" t="s">
        <v>15</v>
      </c>
      <c r="J330" t="s">
        <v>26</v>
      </c>
      <c r="L330">
        <v>5</v>
      </c>
      <c r="M330" s="1">
        <v>45387</v>
      </c>
    </row>
    <row r="331" spans="1:13" x14ac:dyDescent="0.35">
      <c r="A331" t="s">
        <v>619</v>
      </c>
      <c r="B331" t="s">
        <v>329</v>
      </c>
      <c r="C331" t="s">
        <v>184</v>
      </c>
      <c r="D331">
        <v>27</v>
      </c>
      <c r="E331">
        <v>27</v>
      </c>
      <c r="F331">
        <v>0</v>
      </c>
      <c r="G331" t="s">
        <v>14</v>
      </c>
      <c r="H331" t="s">
        <v>32</v>
      </c>
      <c r="I331" t="s">
        <v>15</v>
      </c>
      <c r="J331" t="s">
        <v>16</v>
      </c>
      <c r="L331">
        <v>3</v>
      </c>
      <c r="M331" s="1">
        <v>45394</v>
      </c>
    </row>
    <row r="332" spans="1:13" x14ac:dyDescent="0.35">
      <c r="A332" t="s">
        <v>620</v>
      </c>
      <c r="B332" t="s">
        <v>2161</v>
      </c>
      <c r="C332" t="s">
        <v>69</v>
      </c>
      <c r="D332">
        <v>30</v>
      </c>
      <c r="E332">
        <v>30</v>
      </c>
      <c r="F332">
        <v>0</v>
      </c>
      <c r="G332" t="s">
        <v>25</v>
      </c>
      <c r="H332" t="s">
        <v>58</v>
      </c>
      <c r="I332" t="s">
        <v>88</v>
      </c>
      <c r="J332" t="s">
        <v>20</v>
      </c>
      <c r="K332">
        <v>87417</v>
      </c>
      <c r="L332">
        <v>4</v>
      </c>
      <c r="M332" s="1">
        <v>45498</v>
      </c>
    </row>
    <row r="333" spans="1:13" x14ac:dyDescent="0.35">
      <c r="A333" t="s">
        <v>621</v>
      </c>
      <c r="B333" t="s">
        <v>42</v>
      </c>
      <c r="C333" t="s">
        <v>154</v>
      </c>
      <c r="D333">
        <v>23</v>
      </c>
      <c r="E333">
        <v>23</v>
      </c>
      <c r="F333">
        <v>0</v>
      </c>
      <c r="G333" t="s">
        <v>25</v>
      </c>
      <c r="H333" t="s">
        <v>32</v>
      </c>
      <c r="I333" t="s">
        <v>15</v>
      </c>
      <c r="J333" t="s">
        <v>40</v>
      </c>
      <c r="L333">
        <v>2</v>
      </c>
      <c r="M333" s="1">
        <v>45350</v>
      </c>
    </row>
    <row r="334" spans="1:13" x14ac:dyDescent="0.35">
      <c r="A334" t="s">
        <v>622</v>
      </c>
      <c r="B334" t="s">
        <v>623</v>
      </c>
      <c r="C334" t="s">
        <v>172</v>
      </c>
      <c r="D334">
        <v>21</v>
      </c>
      <c r="E334">
        <v>21</v>
      </c>
      <c r="F334">
        <v>0</v>
      </c>
      <c r="G334" t="s">
        <v>25</v>
      </c>
      <c r="H334" t="s">
        <v>58</v>
      </c>
      <c r="I334" t="s">
        <v>15</v>
      </c>
      <c r="J334" t="s">
        <v>16</v>
      </c>
      <c r="L334">
        <v>1</v>
      </c>
      <c r="M334" s="1">
        <v>45310</v>
      </c>
    </row>
    <row r="335" spans="1:13" x14ac:dyDescent="0.35">
      <c r="A335" t="s">
        <v>624</v>
      </c>
      <c r="B335" t="s">
        <v>625</v>
      </c>
      <c r="C335" t="s">
        <v>69</v>
      </c>
      <c r="D335">
        <v>38</v>
      </c>
      <c r="E335">
        <v>38</v>
      </c>
      <c r="F335">
        <v>0</v>
      </c>
      <c r="G335" t="s">
        <v>14</v>
      </c>
      <c r="H335" t="s">
        <v>19</v>
      </c>
      <c r="I335" t="s">
        <v>105</v>
      </c>
      <c r="J335" t="s">
        <v>40</v>
      </c>
      <c r="L335">
        <v>7</v>
      </c>
      <c r="M335" s="1">
        <v>45336</v>
      </c>
    </row>
    <row r="336" spans="1:13" x14ac:dyDescent="0.35">
      <c r="A336" t="s">
        <v>626</v>
      </c>
      <c r="B336" t="s">
        <v>627</v>
      </c>
      <c r="C336" t="s">
        <v>45</v>
      </c>
      <c r="D336">
        <v>47</v>
      </c>
      <c r="E336">
        <v>47</v>
      </c>
      <c r="F336">
        <v>0</v>
      </c>
      <c r="G336" t="s">
        <v>25</v>
      </c>
      <c r="H336" t="s">
        <v>19</v>
      </c>
      <c r="I336" t="s">
        <v>2153</v>
      </c>
      <c r="J336" t="s">
        <v>16</v>
      </c>
      <c r="L336">
        <v>8</v>
      </c>
      <c r="M336" s="1">
        <v>45406</v>
      </c>
    </row>
    <row r="337" spans="1:13" x14ac:dyDescent="0.35">
      <c r="A337" t="s">
        <v>628</v>
      </c>
      <c r="B337" t="s">
        <v>629</v>
      </c>
      <c r="C337" t="s">
        <v>117</v>
      </c>
      <c r="D337">
        <v>26</v>
      </c>
      <c r="E337">
        <v>26</v>
      </c>
      <c r="F337">
        <v>0</v>
      </c>
      <c r="G337" t="s">
        <v>14</v>
      </c>
      <c r="H337" t="s">
        <v>19</v>
      </c>
      <c r="I337" t="s">
        <v>88</v>
      </c>
      <c r="J337" t="s">
        <v>37</v>
      </c>
      <c r="K337">
        <v>114188</v>
      </c>
      <c r="L337">
        <v>5</v>
      </c>
      <c r="M337" s="1">
        <v>45555</v>
      </c>
    </row>
    <row r="338" spans="1:13" x14ac:dyDescent="0.35">
      <c r="A338" t="s">
        <v>630</v>
      </c>
      <c r="B338" t="s">
        <v>631</v>
      </c>
      <c r="C338" t="s">
        <v>172</v>
      </c>
      <c r="D338">
        <v>42</v>
      </c>
      <c r="E338">
        <v>42</v>
      </c>
      <c r="F338">
        <v>0</v>
      </c>
      <c r="G338" t="s">
        <v>14</v>
      </c>
      <c r="H338" t="s">
        <v>99</v>
      </c>
      <c r="I338" t="s">
        <v>105</v>
      </c>
      <c r="J338" t="s">
        <v>40</v>
      </c>
      <c r="L338">
        <v>9</v>
      </c>
      <c r="M338" s="1">
        <v>45401</v>
      </c>
    </row>
    <row r="339" spans="1:13" x14ac:dyDescent="0.35">
      <c r="A339" t="s">
        <v>632</v>
      </c>
      <c r="B339" t="s">
        <v>235</v>
      </c>
      <c r="C339" t="s">
        <v>29</v>
      </c>
      <c r="D339">
        <v>34</v>
      </c>
      <c r="E339">
        <v>34</v>
      </c>
      <c r="F339">
        <v>0</v>
      </c>
      <c r="G339" t="s">
        <v>25</v>
      </c>
      <c r="H339" t="s">
        <v>32</v>
      </c>
      <c r="I339" t="s">
        <v>88</v>
      </c>
      <c r="J339" t="s">
        <v>26</v>
      </c>
      <c r="L339">
        <v>7</v>
      </c>
      <c r="M339" s="1">
        <v>45483</v>
      </c>
    </row>
    <row r="340" spans="1:13" x14ac:dyDescent="0.35">
      <c r="A340" t="s">
        <v>633</v>
      </c>
      <c r="B340" t="s">
        <v>634</v>
      </c>
      <c r="C340" t="s">
        <v>154</v>
      </c>
      <c r="D340">
        <v>39</v>
      </c>
      <c r="E340">
        <v>39</v>
      </c>
      <c r="F340">
        <v>0</v>
      </c>
      <c r="G340" t="s">
        <v>14</v>
      </c>
      <c r="H340" t="s">
        <v>19</v>
      </c>
      <c r="I340" t="s">
        <v>15</v>
      </c>
      <c r="J340" t="s">
        <v>20</v>
      </c>
      <c r="K340">
        <v>48068</v>
      </c>
      <c r="L340">
        <v>9</v>
      </c>
      <c r="M340" s="1">
        <v>45341</v>
      </c>
    </row>
    <row r="341" spans="1:13" x14ac:dyDescent="0.35">
      <c r="A341" t="s">
        <v>635</v>
      </c>
      <c r="B341" t="s">
        <v>636</v>
      </c>
      <c r="C341" t="s">
        <v>13</v>
      </c>
      <c r="D341">
        <v>53</v>
      </c>
      <c r="E341">
        <v>53</v>
      </c>
      <c r="F341">
        <v>0</v>
      </c>
      <c r="G341" t="s">
        <v>14</v>
      </c>
      <c r="H341" t="s">
        <v>32</v>
      </c>
      <c r="I341" t="s">
        <v>15</v>
      </c>
      <c r="J341" t="s">
        <v>37</v>
      </c>
      <c r="K341">
        <v>30000</v>
      </c>
      <c r="L341">
        <v>5</v>
      </c>
      <c r="M341" s="1">
        <v>45414</v>
      </c>
    </row>
    <row r="342" spans="1:13" x14ac:dyDescent="0.35">
      <c r="A342" t="s">
        <v>637</v>
      </c>
      <c r="B342" t="s">
        <v>290</v>
      </c>
      <c r="C342" t="s">
        <v>154</v>
      </c>
      <c r="D342">
        <v>31</v>
      </c>
      <c r="E342">
        <v>31</v>
      </c>
      <c r="F342">
        <v>0</v>
      </c>
      <c r="G342" t="s">
        <v>14</v>
      </c>
      <c r="H342" t="s">
        <v>58</v>
      </c>
      <c r="I342" t="s">
        <v>15</v>
      </c>
      <c r="J342" t="s">
        <v>20</v>
      </c>
      <c r="K342">
        <v>30000</v>
      </c>
      <c r="L342">
        <v>9</v>
      </c>
      <c r="M342" s="1">
        <v>45555</v>
      </c>
    </row>
    <row r="343" spans="1:13" x14ac:dyDescent="0.35">
      <c r="A343" t="s">
        <v>638</v>
      </c>
      <c r="B343" t="s">
        <v>639</v>
      </c>
      <c r="C343" t="s">
        <v>172</v>
      </c>
      <c r="D343">
        <v>33</v>
      </c>
      <c r="F343">
        <v>1</v>
      </c>
      <c r="G343" t="s">
        <v>14</v>
      </c>
      <c r="H343" t="s">
        <v>99</v>
      </c>
      <c r="I343" t="s">
        <v>88</v>
      </c>
      <c r="J343" t="s">
        <v>16</v>
      </c>
      <c r="L343">
        <v>3</v>
      </c>
      <c r="M343" s="1">
        <v>45406</v>
      </c>
    </row>
    <row r="344" spans="1:13" x14ac:dyDescent="0.35">
      <c r="A344" t="s">
        <v>640</v>
      </c>
      <c r="B344" t="s">
        <v>641</v>
      </c>
      <c r="C344" t="s">
        <v>172</v>
      </c>
      <c r="D344">
        <v>54</v>
      </c>
      <c r="E344">
        <v>54</v>
      </c>
      <c r="F344">
        <v>0</v>
      </c>
      <c r="G344" t="s">
        <v>14</v>
      </c>
      <c r="H344" t="s">
        <v>32</v>
      </c>
      <c r="I344" t="s">
        <v>105</v>
      </c>
      <c r="J344" t="s">
        <v>26</v>
      </c>
      <c r="L344">
        <v>7</v>
      </c>
      <c r="M344" s="1">
        <v>45579</v>
      </c>
    </row>
    <row r="345" spans="1:13" x14ac:dyDescent="0.35">
      <c r="A345" t="s">
        <v>642</v>
      </c>
      <c r="B345" t="s">
        <v>643</v>
      </c>
      <c r="C345" t="s">
        <v>117</v>
      </c>
      <c r="D345">
        <v>42</v>
      </c>
      <c r="E345">
        <v>42</v>
      </c>
      <c r="F345">
        <v>0</v>
      </c>
      <c r="G345" t="s">
        <v>14</v>
      </c>
      <c r="H345" t="s">
        <v>99</v>
      </c>
      <c r="I345" t="s">
        <v>105</v>
      </c>
      <c r="J345" t="s">
        <v>40</v>
      </c>
      <c r="L345">
        <v>7</v>
      </c>
      <c r="M345" s="1">
        <v>45550</v>
      </c>
    </row>
    <row r="346" spans="1:13" x14ac:dyDescent="0.35">
      <c r="A346" t="s">
        <v>644</v>
      </c>
      <c r="B346" t="s">
        <v>645</v>
      </c>
      <c r="C346" t="s">
        <v>69</v>
      </c>
      <c r="D346">
        <v>45</v>
      </c>
      <c r="E346">
        <v>45</v>
      </c>
      <c r="F346">
        <v>0</v>
      </c>
      <c r="G346" t="s">
        <v>14</v>
      </c>
      <c r="H346" t="s">
        <v>19</v>
      </c>
      <c r="I346" t="s">
        <v>15</v>
      </c>
      <c r="J346" t="s">
        <v>20</v>
      </c>
      <c r="K346">
        <v>98238</v>
      </c>
      <c r="L346">
        <v>5</v>
      </c>
      <c r="M346" s="1">
        <v>45534</v>
      </c>
    </row>
    <row r="347" spans="1:13" x14ac:dyDescent="0.35">
      <c r="A347" t="s">
        <v>646</v>
      </c>
      <c r="B347" t="s">
        <v>94</v>
      </c>
      <c r="C347" t="s">
        <v>117</v>
      </c>
      <c r="D347">
        <v>34</v>
      </c>
      <c r="E347">
        <v>34</v>
      </c>
      <c r="F347">
        <v>0</v>
      </c>
      <c r="G347" t="s">
        <v>25</v>
      </c>
      <c r="H347" t="s">
        <v>58</v>
      </c>
      <c r="I347" t="s">
        <v>88</v>
      </c>
      <c r="J347" t="s">
        <v>16</v>
      </c>
      <c r="L347">
        <v>4</v>
      </c>
      <c r="M347" s="1">
        <v>45346</v>
      </c>
    </row>
    <row r="348" spans="1:13" x14ac:dyDescent="0.35">
      <c r="A348" t="s">
        <v>2162</v>
      </c>
      <c r="B348" t="s">
        <v>647</v>
      </c>
      <c r="C348" t="s">
        <v>29</v>
      </c>
      <c r="D348">
        <v>44</v>
      </c>
      <c r="E348">
        <v>44</v>
      </c>
      <c r="F348">
        <v>0</v>
      </c>
      <c r="G348" t="s">
        <v>25</v>
      </c>
      <c r="H348" t="s">
        <v>32</v>
      </c>
      <c r="I348" t="s">
        <v>15</v>
      </c>
      <c r="J348" t="s">
        <v>40</v>
      </c>
      <c r="L348">
        <v>1</v>
      </c>
      <c r="M348" s="1">
        <v>45588</v>
      </c>
    </row>
    <row r="349" spans="1:13" x14ac:dyDescent="0.35">
      <c r="A349" t="s">
        <v>648</v>
      </c>
      <c r="B349" t="s">
        <v>649</v>
      </c>
      <c r="C349" t="s">
        <v>29</v>
      </c>
      <c r="D349">
        <v>21</v>
      </c>
      <c r="E349">
        <v>21</v>
      </c>
      <c r="F349">
        <v>0</v>
      </c>
      <c r="G349" t="s">
        <v>25</v>
      </c>
      <c r="H349" t="s">
        <v>58</v>
      </c>
      <c r="I349" t="s">
        <v>2154</v>
      </c>
      <c r="J349" t="s">
        <v>26</v>
      </c>
      <c r="L349">
        <v>4</v>
      </c>
      <c r="M349" s="1">
        <v>45580</v>
      </c>
    </row>
    <row r="350" spans="1:13" x14ac:dyDescent="0.35">
      <c r="A350" t="s">
        <v>650</v>
      </c>
      <c r="B350" t="s">
        <v>136</v>
      </c>
      <c r="C350" t="s">
        <v>117</v>
      </c>
      <c r="D350">
        <v>41</v>
      </c>
      <c r="E350">
        <v>41</v>
      </c>
      <c r="F350">
        <v>0</v>
      </c>
      <c r="G350" t="s">
        <v>14</v>
      </c>
      <c r="H350" t="s">
        <v>19</v>
      </c>
      <c r="I350" t="s">
        <v>2154</v>
      </c>
      <c r="J350" t="s">
        <v>26</v>
      </c>
      <c r="L350">
        <v>4</v>
      </c>
      <c r="M350" s="1">
        <v>45497</v>
      </c>
    </row>
    <row r="351" spans="1:13" x14ac:dyDescent="0.35">
      <c r="A351" t="s">
        <v>651</v>
      </c>
      <c r="B351" t="s">
        <v>652</v>
      </c>
      <c r="C351" t="s">
        <v>69</v>
      </c>
      <c r="D351">
        <v>52</v>
      </c>
      <c r="E351">
        <v>52</v>
      </c>
      <c r="F351">
        <v>0</v>
      </c>
      <c r="G351" t="s">
        <v>14</v>
      </c>
      <c r="H351" t="s">
        <v>32</v>
      </c>
      <c r="I351" t="s">
        <v>15</v>
      </c>
      <c r="J351" t="s">
        <v>40</v>
      </c>
      <c r="L351">
        <v>9</v>
      </c>
      <c r="M351" s="1">
        <v>45334</v>
      </c>
    </row>
    <row r="352" spans="1:13" x14ac:dyDescent="0.35">
      <c r="A352" t="s">
        <v>653</v>
      </c>
      <c r="B352" t="s">
        <v>654</v>
      </c>
      <c r="C352" t="s">
        <v>117</v>
      </c>
      <c r="D352">
        <v>38</v>
      </c>
      <c r="E352">
        <v>38</v>
      </c>
      <c r="F352">
        <v>0</v>
      </c>
      <c r="G352" t="s">
        <v>14</v>
      </c>
      <c r="H352" t="s">
        <v>99</v>
      </c>
      <c r="I352" t="s">
        <v>105</v>
      </c>
      <c r="J352" t="s">
        <v>26</v>
      </c>
      <c r="L352">
        <v>2</v>
      </c>
      <c r="M352" s="1">
        <v>45389</v>
      </c>
    </row>
    <row r="353" spans="1:13" x14ac:dyDescent="0.35">
      <c r="A353" t="s">
        <v>655</v>
      </c>
      <c r="B353" t="s">
        <v>656</v>
      </c>
      <c r="C353" t="s">
        <v>130</v>
      </c>
      <c r="D353">
        <v>19</v>
      </c>
      <c r="E353">
        <v>19</v>
      </c>
      <c r="F353">
        <v>0</v>
      </c>
      <c r="G353" t="s">
        <v>25</v>
      </c>
      <c r="H353" t="s">
        <v>32</v>
      </c>
      <c r="I353" t="s">
        <v>2153</v>
      </c>
      <c r="J353" t="s">
        <v>20</v>
      </c>
      <c r="K353">
        <v>100503</v>
      </c>
      <c r="L353">
        <v>3</v>
      </c>
      <c r="M353" s="1">
        <v>45385</v>
      </c>
    </row>
    <row r="354" spans="1:13" x14ac:dyDescent="0.35">
      <c r="A354" t="s">
        <v>657</v>
      </c>
      <c r="B354" t="s">
        <v>658</v>
      </c>
      <c r="C354" t="s">
        <v>130</v>
      </c>
      <c r="D354">
        <v>45</v>
      </c>
      <c r="E354">
        <v>45</v>
      </c>
      <c r="F354">
        <v>0</v>
      </c>
      <c r="G354" t="s">
        <v>14</v>
      </c>
      <c r="H354" t="s">
        <v>19</v>
      </c>
      <c r="I354" t="s">
        <v>105</v>
      </c>
      <c r="J354" t="s">
        <v>40</v>
      </c>
      <c r="L354">
        <v>2</v>
      </c>
      <c r="M354" s="1">
        <v>45478</v>
      </c>
    </row>
    <row r="355" spans="1:13" x14ac:dyDescent="0.35">
      <c r="A355" t="s">
        <v>659</v>
      </c>
      <c r="B355" t="s">
        <v>660</v>
      </c>
      <c r="C355" t="s">
        <v>184</v>
      </c>
      <c r="D355">
        <v>54</v>
      </c>
      <c r="E355">
        <v>54</v>
      </c>
      <c r="F355">
        <v>0</v>
      </c>
      <c r="G355" t="s">
        <v>25</v>
      </c>
      <c r="H355" t="s">
        <v>19</v>
      </c>
      <c r="I355" t="s">
        <v>2153</v>
      </c>
      <c r="J355" t="s">
        <v>26</v>
      </c>
      <c r="L355">
        <v>7</v>
      </c>
      <c r="M355" s="1">
        <v>45418</v>
      </c>
    </row>
    <row r="356" spans="1:13" x14ac:dyDescent="0.35">
      <c r="A356" t="s">
        <v>661</v>
      </c>
      <c r="B356" t="s">
        <v>662</v>
      </c>
      <c r="C356" t="s">
        <v>154</v>
      </c>
      <c r="D356">
        <v>38</v>
      </c>
      <c r="E356">
        <v>38</v>
      </c>
      <c r="F356">
        <v>0</v>
      </c>
      <c r="G356" t="s">
        <v>25</v>
      </c>
      <c r="H356" t="s">
        <v>19</v>
      </c>
      <c r="I356" t="s">
        <v>88</v>
      </c>
      <c r="J356" t="s">
        <v>16</v>
      </c>
      <c r="L356">
        <v>5</v>
      </c>
      <c r="M356" s="1">
        <v>45558</v>
      </c>
    </row>
    <row r="357" spans="1:13" x14ac:dyDescent="0.35">
      <c r="A357" t="s">
        <v>663</v>
      </c>
      <c r="B357" t="s">
        <v>664</v>
      </c>
      <c r="C357" t="s">
        <v>172</v>
      </c>
      <c r="D357">
        <v>36</v>
      </c>
      <c r="E357">
        <v>36</v>
      </c>
      <c r="F357">
        <v>0</v>
      </c>
      <c r="G357" t="s">
        <v>14</v>
      </c>
      <c r="H357" t="s">
        <v>58</v>
      </c>
      <c r="I357" t="s">
        <v>2154</v>
      </c>
      <c r="J357" t="s">
        <v>37</v>
      </c>
      <c r="K357">
        <v>34196</v>
      </c>
      <c r="L357">
        <v>8</v>
      </c>
      <c r="M357" s="1">
        <v>45565</v>
      </c>
    </row>
    <row r="358" spans="1:13" x14ac:dyDescent="0.35">
      <c r="A358" t="s">
        <v>665</v>
      </c>
      <c r="B358" t="s">
        <v>107</v>
      </c>
      <c r="C358" t="s">
        <v>184</v>
      </c>
      <c r="D358">
        <v>42</v>
      </c>
      <c r="E358">
        <v>42</v>
      </c>
      <c r="F358">
        <v>0</v>
      </c>
      <c r="G358" t="s">
        <v>14</v>
      </c>
      <c r="H358" t="s">
        <v>32</v>
      </c>
      <c r="I358" t="s">
        <v>105</v>
      </c>
      <c r="J358" t="s">
        <v>37</v>
      </c>
      <c r="K358">
        <v>31009</v>
      </c>
      <c r="L358">
        <v>9</v>
      </c>
      <c r="M358" s="1">
        <v>45342</v>
      </c>
    </row>
    <row r="359" spans="1:13" x14ac:dyDescent="0.35">
      <c r="A359" t="s">
        <v>666</v>
      </c>
      <c r="B359" t="s">
        <v>667</v>
      </c>
      <c r="C359" t="s">
        <v>130</v>
      </c>
      <c r="D359">
        <v>47</v>
      </c>
      <c r="E359">
        <v>47</v>
      </c>
      <c r="F359">
        <v>0</v>
      </c>
      <c r="G359" t="s">
        <v>25</v>
      </c>
      <c r="H359" t="s">
        <v>58</v>
      </c>
      <c r="I359" t="s">
        <v>88</v>
      </c>
      <c r="J359" t="s">
        <v>40</v>
      </c>
      <c r="L359">
        <v>3</v>
      </c>
      <c r="M359" s="1">
        <v>45602</v>
      </c>
    </row>
    <row r="360" spans="1:13" x14ac:dyDescent="0.35">
      <c r="A360" t="s">
        <v>668</v>
      </c>
      <c r="B360" t="s">
        <v>669</v>
      </c>
      <c r="C360" t="s">
        <v>117</v>
      </c>
      <c r="D360">
        <v>21</v>
      </c>
      <c r="E360">
        <v>21</v>
      </c>
      <c r="F360">
        <v>0</v>
      </c>
      <c r="G360" t="s">
        <v>25</v>
      </c>
      <c r="H360" t="s">
        <v>99</v>
      </c>
      <c r="I360" t="s">
        <v>105</v>
      </c>
      <c r="J360" t="s">
        <v>37</v>
      </c>
      <c r="K360">
        <v>36277</v>
      </c>
      <c r="L360">
        <v>4</v>
      </c>
      <c r="M360" s="1">
        <v>45517</v>
      </c>
    </row>
    <row r="361" spans="1:13" x14ac:dyDescent="0.35">
      <c r="A361" t="s">
        <v>670</v>
      </c>
      <c r="B361" t="s">
        <v>671</v>
      </c>
      <c r="C361" t="s">
        <v>29</v>
      </c>
      <c r="D361">
        <v>32</v>
      </c>
      <c r="E361">
        <v>32</v>
      </c>
      <c r="F361">
        <v>0</v>
      </c>
      <c r="G361" t="s">
        <v>25</v>
      </c>
      <c r="H361" t="s">
        <v>32</v>
      </c>
      <c r="I361" t="s">
        <v>105</v>
      </c>
      <c r="J361" t="s">
        <v>37</v>
      </c>
      <c r="K361">
        <v>57954</v>
      </c>
      <c r="L361">
        <v>1</v>
      </c>
      <c r="M361" s="1">
        <v>45469</v>
      </c>
    </row>
    <row r="362" spans="1:13" x14ac:dyDescent="0.35">
      <c r="A362" t="s">
        <v>672</v>
      </c>
      <c r="B362" t="s">
        <v>669</v>
      </c>
      <c r="C362" t="s">
        <v>130</v>
      </c>
      <c r="D362">
        <v>35</v>
      </c>
      <c r="E362">
        <v>35</v>
      </c>
      <c r="F362">
        <v>0</v>
      </c>
      <c r="G362" t="s">
        <v>25</v>
      </c>
      <c r="H362" t="s">
        <v>19</v>
      </c>
      <c r="I362" t="s">
        <v>105</v>
      </c>
      <c r="J362" t="s">
        <v>16</v>
      </c>
      <c r="L362">
        <v>6</v>
      </c>
      <c r="M362" s="1">
        <v>45588</v>
      </c>
    </row>
    <row r="363" spans="1:13" x14ac:dyDescent="0.35">
      <c r="A363" t="s">
        <v>673</v>
      </c>
      <c r="B363" t="s">
        <v>674</v>
      </c>
      <c r="C363" t="s">
        <v>69</v>
      </c>
      <c r="D363">
        <v>26</v>
      </c>
      <c r="E363">
        <v>26</v>
      </c>
      <c r="F363">
        <v>0</v>
      </c>
      <c r="G363" t="s">
        <v>25</v>
      </c>
      <c r="H363" t="s">
        <v>99</v>
      </c>
      <c r="I363" t="s">
        <v>2153</v>
      </c>
      <c r="J363" t="s">
        <v>16</v>
      </c>
      <c r="L363">
        <v>3</v>
      </c>
      <c r="M363" s="1">
        <v>45300</v>
      </c>
    </row>
    <row r="364" spans="1:13" x14ac:dyDescent="0.35">
      <c r="A364" t="s">
        <v>675</v>
      </c>
      <c r="B364" t="s">
        <v>57</v>
      </c>
      <c r="C364" t="s">
        <v>119</v>
      </c>
      <c r="D364">
        <v>43</v>
      </c>
      <c r="E364">
        <v>43</v>
      </c>
      <c r="F364">
        <v>0</v>
      </c>
      <c r="G364" t="s">
        <v>25</v>
      </c>
      <c r="H364" t="s">
        <v>32</v>
      </c>
      <c r="I364" t="s">
        <v>88</v>
      </c>
      <c r="J364" t="s">
        <v>40</v>
      </c>
      <c r="L364">
        <v>2</v>
      </c>
      <c r="M364" s="1">
        <v>45329</v>
      </c>
    </row>
    <row r="365" spans="1:13" x14ac:dyDescent="0.35">
      <c r="A365" t="s">
        <v>676</v>
      </c>
      <c r="B365" t="s">
        <v>127</v>
      </c>
      <c r="C365" t="s">
        <v>119</v>
      </c>
      <c r="D365">
        <v>53</v>
      </c>
      <c r="E365">
        <v>53</v>
      </c>
      <c r="F365">
        <v>0</v>
      </c>
      <c r="G365" t="s">
        <v>25</v>
      </c>
      <c r="H365" t="s">
        <v>58</v>
      </c>
      <c r="I365" t="s">
        <v>88</v>
      </c>
      <c r="J365" t="s">
        <v>16</v>
      </c>
      <c r="L365">
        <v>4</v>
      </c>
      <c r="M365" s="1">
        <v>45467</v>
      </c>
    </row>
    <row r="366" spans="1:13" x14ac:dyDescent="0.35">
      <c r="A366" t="s">
        <v>677</v>
      </c>
      <c r="B366" t="s">
        <v>402</v>
      </c>
      <c r="C366" t="s">
        <v>184</v>
      </c>
      <c r="D366">
        <v>41</v>
      </c>
      <c r="E366">
        <v>41</v>
      </c>
      <c r="F366">
        <v>0</v>
      </c>
      <c r="G366" t="s">
        <v>25</v>
      </c>
      <c r="H366" t="s">
        <v>58</v>
      </c>
      <c r="I366" t="s">
        <v>15</v>
      </c>
      <c r="J366" t="s">
        <v>20</v>
      </c>
      <c r="K366">
        <v>41951</v>
      </c>
      <c r="L366">
        <v>1</v>
      </c>
      <c r="M366" s="1">
        <v>45409</v>
      </c>
    </row>
    <row r="367" spans="1:13" x14ac:dyDescent="0.35">
      <c r="A367" t="s">
        <v>678</v>
      </c>
      <c r="B367" t="s">
        <v>679</v>
      </c>
      <c r="C367" t="s">
        <v>13</v>
      </c>
      <c r="D367">
        <v>37</v>
      </c>
      <c r="E367">
        <v>37</v>
      </c>
      <c r="F367">
        <v>0</v>
      </c>
      <c r="G367" t="s">
        <v>25</v>
      </c>
      <c r="H367" t="s">
        <v>99</v>
      </c>
      <c r="I367" t="s">
        <v>105</v>
      </c>
      <c r="J367" t="s">
        <v>26</v>
      </c>
      <c r="L367">
        <v>2</v>
      </c>
      <c r="M367" s="1">
        <v>45509</v>
      </c>
    </row>
    <row r="368" spans="1:13" x14ac:dyDescent="0.35">
      <c r="A368" t="s">
        <v>680</v>
      </c>
      <c r="B368" t="s">
        <v>547</v>
      </c>
      <c r="C368" t="s">
        <v>119</v>
      </c>
      <c r="D368">
        <v>28</v>
      </c>
      <c r="E368">
        <v>28</v>
      </c>
      <c r="F368">
        <v>0</v>
      </c>
      <c r="G368" t="s">
        <v>25</v>
      </c>
      <c r="H368" t="s">
        <v>19</v>
      </c>
      <c r="I368" t="s">
        <v>15</v>
      </c>
      <c r="J368" t="s">
        <v>40</v>
      </c>
      <c r="L368">
        <v>7</v>
      </c>
      <c r="M368" s="1">
        <v>45454</v>
      </c>
    </row>
    <row r="369" spans="1:13" x14ac:dyDescent="0.35">
      <c r="A369" t="s">
        <v>681</v>
      </c>
      <c r="B369" t="s">
        <v>682</v>
      </c>
      <c r="C369" t="s">
        <v>69</v>
      </c>
      <c r="D369">
        <v>64</v>
      </c>
      <c r="E369">
        <v>64</v>
      </c>
      <c r="F369">
        <v>0</v>
      </c>
      <c r="G369" t="s">
        <v>25</v>
      </c>
      <c r="H369" t="s">
        <v>19</v>
      </c>
      <c r="I369" t="s">
        <v>15</v>
      </c>
      <c r="J369" t="s">
        <v>20</v>
      </c>
      <c r="K369">
        <v>53205</v>
      </c>
      <c r="L369">
        <v>3</v>
      </c>
      <c r="M369" s="1">
        <v>45373</v>
      </c>
    </row>
    <row r="370" spans="1:13" x14ac:dyDescent="0.35">
      <c r="A370" t="s">
        <v>683</v>
      </c>
      <c r="B370" t="s">
        <v>684</v>
      </c>
      <c r="C370" t="s">
        <v>172</v>
      </c>
      <c r="D370">
        <v>20</v>
      </c>
      <c r="E370">
        <v>20</v>
      </c>
      <c r="F370">
        <v>0</v>
      </c>
      <c r="G370" t="s">
        <v>25</v>
      </c>
      <c r="H370" t="s">
        <v>19</v>
      </c>
      <c r="I370" t="s">
        <v>15</v>
      </c>
      <c r="J370" t="s">
        <v>37</v>
      </c>
      <c r="K370">
        <v>30000</v>
      </c>
      <c r="L370">
        <v>1</v>
      </c>
      <c r="M370" s="1">
        <v>45471</v>
      </c>
    </row>
    <row r="371" spans="1:13" x14ac:dyDescent="0.35">
      <c r="A371" t="s">
        <v>685</v>
      </c>
      <c r="B371" t="s">
        <v>686</v>
      </c>
      <c r="C371" t="s">
        <v>69</v>
      </c>
      <c r="D371">
        <v>42</v>
      </c>
      <c r="E371">
        <v>42</v>
      </c>
      <c r="F371">
        <v>0</v>
      </c>
      <c r="G371" t="s">
        <v>14</v>
      </c>
      <c r="H371" t="s">
        <v>32</v>
      </c>
      <c r="I371" t="s">
        <v>15</v>
      </c>
      <c r="J371" t="s">
        <v>16</v>
      </c>
      <c r="L371">
        <v>2</v>
      </c>
      <c r="M371" s="1">
        <v>45331</v>
      </c>
    </row>
    <row r="372" spans="1:13" x14ac:dyDescent="0.35">
      <c r="A372" t="s">
        <v>687</v>
      </c>
      <c r="B372" t="s">
        <v>247</v>
      </c>
      <c r="C372" t="s">
        <v>117</v>
      </c>
      <c r="D372">
        <v>32</v>
      </c>
      <c r="E372">
        <v>32</v>
      </c>
      <c r="F372">
        <v>0</v>
      </c>
      <c r="G372" t="s">
        <v>14</v>
      </c>
      <c r="H372" t="s">
        <v>99</v>
      </c>
      <c r="I372" t="s">
        <v>105</v>
      </c>
      <c r="J372" t="s">
        <v>37</v>
      </c>
      <c r="K372">
        <v>30000</v>
      </c>
      <c r="L372">
        <v>1</v>
      </c>
      <c r="M372" s="1">
        <v>45561</v>
      </c>
    </row>
    <row r="373" spans="1:13" x14ac:dyDescent="0.35">
      <c r="A373" t="s">
        <v>688</v>
      </c>
      <c r="B373" t="s">
        <v>594</v>
      </c>
      <c r="C373" t="s">
        <v>117</v>
      </c>
      <c r="D373">
        <v>43</v>
      </c>
      <c r="E373">
        <v>43</v>
      </c>
      <c r="F373">
        <v>0</v>
      </c>
      <c r="G373" t="s">
        <v>14</v>
      </c>
      <c r="H373" t="s">
        <v>58</v>
      </c>
      <c r="I373" t="s">
        <v>2153</v>
      </c>
      <c r="J373" t="s">
        <v>26</v>
      </c>
      <c r="L373">
        <v>6</v>
      </c>
      <c r="M373" s="1">
        <v>45383</v>
      </c>
    </row>
    <row r="374" spans="1:13" x14ac:dyDescent="0.35">
      <c r="A374" t="s">
        <v>689</v>
      </c>
      <c r="B374" t="s">
        <v>690</v>
      </c>
      <c r="C374" t="s">
        <v>13</v>
      </c>
      <c r="D374">
        <v>37</v>
      </c>
      <c r="E374">
        <v>37</v>
      </c>
      <c r="F374">
        <v>0</v>
      </c>
      <c r="G374" t="s">
        <v>14</v>
      </c>
      <c r="H374" t="s">
        <v>32</v>
      </c>
      <c r="I374" t="s">
        <v>15</v>
      </c>
      <c r="J374" t="s">
        <v>20</v>
      </c>
      <c r="K374">
        <v>45825</v>
      </c>
      <c r="L374">
        <v>1</v>
      </c>
      <c r="M374" s="1">
        <v>45441</v>
      </c>
    </row>
    <row r="375" spans="1:13" x14ac:dyDescent="0.35">
      <c r="A375" t="s">
        <v>691</v>
      </c>
      <c r="B375" t="s">
        <v>692</v>
      </c>
      <c r="C375" t="s">
        <v>119</v>
      </c>
      <c r="D375">
        <v>41</v>
      </c>
      <c r="E375">
        <v>41</v>
      </c>
      <c r="F375">
        <v>0</v>
      </c>
      <c r="G375" t="s">
        <v>25</v>
      </c>
      <c r="H375" t="s">
        <v>99</v>
      </c>
      <c r="I375" t="s">
        <v>15</v>
      </c>
      <c r="J375" t="s">
        <v>20</v>
      </c>
      <c r="K375">
        <v>75739</v>
      </c>
      <c r="L375">
        <v>2</v>
      </c>
      <c r="M375" s="1">
        <v>45327</v>
      </c>
    </row>
    <row r="376" spans="1:13" x14ac:dyDescent="0.35">
      <c r="A376" t="s">
        <v>693</v>
      </c>
      <c r="B376" t="s">
        <v>694</v>
      </c>
      <c r="C376" t="s">
        <v>119</v>
      </c>
      <c r="D376">
        <v>32</v>
      </c>
      <c r="E376">
        <v>32</v>
      </c>
      <c r="F376">
        <v>0</v>
      </c>
      <c r="G376" t="s">
        <v>25</v>
      </c>
      <c r="H376" t="s">
        <v>32</v>
      </c>
      <c r="I376" t="s">
        <v>105</v>
      </c>
      <c r="J376" t="s">
        <v>26</v>
      </c>
      <c r="L376">
        <v>6</v>
      </c>
      <c r="M376" s="1">
        <v>45580</v>
      </c>
    </row>
    <row r="377" spans="1:13" x14ac:dyDescent="0.35">
      <c r="A377" t="s">
        <v>695</v>
      </c>
      <c r="B377" t="s">
        <v>229</v>
      </c>
      <c r="C377" t="s">
        <v>154</v>
      </c>
      <c r="D377">
        <v>33</v>
      </c>
      <c r="F377">
        <v>1</v>
      </c>
      <c r="G377" t="s">
        <v>25</v>
      </c>
      <c r="H377" t="s">
        <v>32</v>
      </c>
      <c r="I377" t="s">
        <v>105</v>
      </c>
      <c r="J377" t="s">
        <v>20</v>
      </c>
      <c r="K377">
        <v>84318</v>
      </c>
      <c r="L377">
        <v>5</v>
      </c>
      <c r="M377" s="1">
        <v>45338</v>
      </c>
    </row>
    <row r="378" spans="1:13" x14ac:dyDescent="0.35">
      <c r="A378" t="s">
        <v>696</v>
      </c>
      <c r="B378" t="s">
        <v>697</v>
      </c>
      <c r="C378" t="s">
        <v>154</v>
      </c>
      <c r="D378">
        <v>22</v>
      </c>
      <c r="E378">
        <v>22</v>
      </c>
      <c r="F378">
        <v>0</v>
      </c>
      <c r="G378" t="s">
        <v>25</v>
      </c>
      <c r="H378" t="s">
        <v>32</v>
      </c>
      <c r="I378" t="s">
        <v>15</v>
      </c>
      <c r="J378" t="s">
        <v>26</v>
      </c>
      <c r="L378">
        <v>1</v>
      </c>
      <c r="M378" s="1">
        <v>45415</v>
      </c>
    </row>
    <row r="379" spans="1:13" x14ac:dyDescent="0.35">
      <c r="A379" t="s">
        <v>698</v>
      </c>
      <c r="B379" t="s">
        <v>699</v>
      </c>
      <c r="C379" t="s">
        <v>130</v>
      </c>
      <c r="D379">
        <v>25</v>
      </c>
      <c r="E379">
        <v>25</v>
      </c>
      <c r="F379">
        <v>0</v>
      </c>
      <c r="G379" t="s">
        <v>25</v>
      </c>
      <c r="H379" t="s">
        <v>58</v>
      </c>
      <c r="I379" t="s">
        <v>88</v>
      </c>
      <c r="J379" t="s">
        <v>20</v>
      </c>
      <c r="K379">
        <v>30556</v>
      </c>
      <c r="L379">
        <v>3</v>
      </c>
      <c r="M379" s="1">
        <v>45444</v>
      </c>
    </row>
    <row r="380" spans="1:13" x14ac:dyDescent="0.35">
      <c r="A380" t="s">
        <v>700</v>
      </c>
      <c r="B380" t="s">
        <v>701</v>
      </c>
      <c r="C380" t="s">
        <v>172</v>
      </c>
      <c r="D380">
        <v>29</v>
      </c>
      <c r="E380">
        <v>29</v>
      </c>
      <c r="F380">
        <v>0</v>
      </c>
      <c r="G380" t="s">
        <v>14</v>
      </c>
      <c r="H380" t="s">
        <v>19</v>
      </c>
      <c r="I380" t="s">
        <v>88</v>
      </c>
      <c r="J380" t="s">
        <v>16</v>
      </c>
      <c r="L380">
        <v>8</v>
      </c>
      <c r="M380" s="1">
        <v>45300</v>
      </c>
    </row>
    <row r="381" spans="1:13" x14ac:dyDescent="0.35">
      <c r="A381" t="s">
        <v>702</v>
      </c>
      <c r="B381" t="s">
        <v>703</v>
      </c>
      <c r="C381" t="s">
        <v>119</v>
      </c>
      <c r="D381">
        <v>42</v>
      </c>
      <c r="E381">
        <v>42</v>
      </c>
      <c r="F381">
        <v>0</v>
      </c>
      <c r="G381" t="s">
        <v>14</v>
      </c>
      <c r="H381" t="s">
        <v>32</v>
      </c>
      <c r="I381" t="s">
        <v>15</v>
      </c>
      <c r="J381" t="s">
        <v>20</v>
      </c>
      <c r="K381">
        <v>58023</v>
      </c>
      <c r="L381">
        <v>3</v>
      </c>
      <c r="M381" s="1">
        <v>45512</v>
      </c>
    </row>
    <row r="382" spans="1:13" x14ac:dyDescent="0.35">
      <c r="A382" t="s">
        <v>704</v>
      </c>
      <c r="B382" t="s">
        <v>705</v>
      </c>
      <c r="C382" t="s">
        <v>117</v>
      </c>
      <c r="D382">
        <v>32</v>
      </c>
      <c r="E382">
        <v>32</v>
      </c>
      <c r="F382">
        <v>0</v>
      </c>
      <c r="G382" t="s">
        <v>25</v>
      </c>
      <c r="H382" t="s">
        <v>19</v>
      </c>
      <c r="I382" t="s">
        <v>15</v>
      </c>
      <c r="J382" t="s">
        <v>40</v>
      </c>
      <c r="L382">
        <v>8</v>
      </c>
      <c r="M382" s="1">
        <v>45358</v>
      </c>
    </row>
    <row r="383" spans="1:13" x14ac:dyDescent="0.35">
      <c r="A383" t="s">
        <v>706</v>
      </c>
      <c r="B383" t="s">
        <v>24</v>
      </c>
      <c r="C383" t="s">
        <v>13</v>
      </c>
      <c r="D383">
        <v>42</v>
      </c>
      <c r="E383">
        <v>42</v>
      </c>
      <c r="F383">
        <v>0</v>
      </c>
      <c r="G383" t="s">
        <v>25</v>
      </c>
      <c r="H383" t="s">
        <v>19</v>
      </c>
      <c r="I383" t="s">
        <v>105</v>
      </c>
      <c r="J383" t="s">
        <v>26</v>
      </c>
      <c r="L383">
        <v>8</v>
      </c>
      <c r="M383" s="1">
        <v>45384</v>
      </c>
    </row>
    <row r="384" spans="1:13" x14ac:dyDescent="0.35">
      <c r="A384" t="s">
        <v>707</v>
      </c>
      <c r="B384" t="s">
        <v>708</v>
      </c>
      <c r="C384" t="s">
        <v>13</v>
      </c>
      <c r="D384">
        <v>35</v>
      </c>
      <c r="E384">
        <v>35</v>
      </c>
      <c r="F384">
        <v>0</v>
      </c>
      <c r="G384" t="s">
        <v>25</v>
      </c>
      <c r="H384" t="s">
        <v>58</v>
      </c>
      <c r="I384" t="s">
        <v>15</v>
      </c>
      <c r="J384" t="s">
        <v>37</v>
      </c>
      <c r="K384">
        <v>30000</v>
      </c>
      <c r="L384">
        <v>2</v>
      </c>
      <c r="M384" s="1">
        <v>45481</v>
      </c>
    </row>
    <row r="385" spans="1:13" x14ac:dyDescent="0.35">
      <c r="A385" t="s">
        <v>709</v>
      </c>
      <c r="B385" t="s">
        <v>47</v>
      </c>
      <c r="C385" t="s">
        <v>119</v>
      </c>
      <c r="D385">
        <v>54</v>
      </c>
      <c r="E385">
        <v>54</v>
      </c>
      <c r="F385">
        <v>0</v>
      </c>
      <c r="G385" t="s">
        <v>14</v>
      </c>
      <c r="H385" t="s">
        <v>58</v>
      </c>
      <c r="I385" t="s">
        <v>15</v>
      </c>
      <c r="J385" t="s">
        <v>26</v>
      </c>
      <c r="L385">
        <v>9</v>
      </c>
      <c r="M385" s="1">
        <v>45498</v>
      </c>
    </row>
    <row r="386" spans="1:13" x14ac:dyDescent="0.35">
      <c r="A386" t="s">
        <v>710</v>
      </c>
      <c r="B386" t="s">
        <v>711</v>
      </c>
      <c r="C386" t="s">
        <v>154</v>
      </c>
      <c r="D386">
        <v>43</v>
      </c>
      <c r="E386">
        <v>43</v>
      </c>
      <c r="F386">
        <v>0</v>
      </c>
      <c r="G386" t="s">
        <v>14</v>
      </c>
      <c r="H386" t="s">
        <v>32</v>
      </c>
      <c r="I386" t="s">
        <v>105</v>
      </c>
      <c r="J386" t="s">
        <v>37</v>
      </c>
      <c r="K386">
        <v>95398</v>
      </c>
      <c r="L386">
        <v>5</v>
      </c>
      <c r="M386" s="1">
        <v>45354</v>
      </c>
    </row>
    <row r="387" spans="1:13" x14ac:dyDescent="0.35">
      <c r="A387" t="s">
        <v>712</v>
      </c>
      <c r="B387" t="s">
        <v>469</v>
      </c>
      <c r="C387" t="s">
        <v>13</v>
      </c>
      <c r="D387">
        <v>33</v>
      </c>
      <c r="E387">
        <v>33</v>
      </c>
      <c r="F387">
        <v>0</v>
      </c>
      <c r="G387" t="s">
        <v>25</v>
      </c>
      <c r="H387" t="s">
        <v>99</v>
      </c>
      <c r="I387" t="s">
        <v>2153</v>
      </c>
      <c r="J387" t="s">
        <v>26</v>
      </c>
      <c r="L387">
        <v>1</v>
      </c>
      <c r="M387" s="1">
        <v>45502</v>
      </c>
    </row>
    <row r="388" spans="1:13" x14ac:dyDescent="0.35">
      <c r="A388" t="s">
        <v>713</v>
      </c>
      <c r="B388" t="s">
        <v>714</v>
      </c>
      <c r="C388" t="s">
        <v>154</v>
      </c>
      <c r="D388">
        <v>25</v>
      </c>
      <c r="E388">
        <v>25</v>
      </c>
      <c r="F388">
        <v>0</v>
      </c>
      <c r="G388" t="s">
        <v>14</v>
      </c>
      <c r="H388" t="s">
        <v>99</v>
      </c>
      <c r="I388" t="s">
        <v>105</v>
      </c>
      <c r="J388" t="s">
        <v>16</v>
      </c>
      <c r="L388">
        <v>3</v>
      </c>
      <c r="M388" s="1">
        <v>45348</v>
      </c>
    </row>
    <row r="389" spans="1:13" x14ac:dyDescent="0.35">
      <c r="A389" t="s">
        <v>2163</v>
      </c>
      <c r="B389" t="s">
        <v>715</v>
      </c>
      <c r="C389" t="s">
        <v>172</v>
      </c>
      <c r="D389">
        <v>20</v>
      </c>
      <c r="E389">
        <v>20</v>
      </c>
      <c r="F389">
        <v>0</v>
      </c>
      <c r="G389" t="s">
        <v>25</v>
      </c>
      <c r="H389" t="s">
        <v>58</v>
      </c>
      <c r="I389" t="s">
        <v>88</v>
      </c>
      <c r="J389" t="s">
        <v>16</v>
      </c>
      <c r="L389">
        <v>2</v>
      </c>
      <c r="M389" s="1">
        <v>45435</v>
      </c>
    </row>
    <row r="390" spans="1:13" x14ac:dyDescent="0.35">
      <c r="A390" t="s">
        <v>716</v>
      </c>
      <c r="B390" t="s">
        <v>257</v>
      </c>
      <c r="C390" t="s">
        <v>69</v>
      </c>
      <c r="D390">
        <v>50</v>
      </c>
      <c r="E390">
        <v>50</v>
      </c>
      <c r="F390">
        <v>0</v>
      </c>
      <c r="G390" t="s">
        <v>25</v>
      </c>
      <c r="H390" t="s">
        <v>99</v>
      </c>
      <c r="I390" t="s">
        <v>88</v>
      </c>
      <c r="J390" t="s">
        <v>37</v>
      </c>
      <c r="K390">
        <v>103533</v>
      </c>
      <c r="L390">
        <v>1</v>
      </c>
      <c r="M390" s="1">
        <v>45504</v>
      </c>
    </row>
    <row r="391" spans="1:13" x14ac:dyDescent="0.35">
      <c r="A391" t="s">
        <v>717</v>
      </c>
      <c r="B391" t="s">
        <v>652</v>
      </c>
      <c r="C391" t="s">
        <v>119</v>
      </c>
      <c r="D391">
        <v>33</v>
      </c>
      <c r="E391">
        <v>33</v>
      </c>
      <c r="F391">
        <v>0</v>
      </c>
      <c r="G391" t="s">
        <v>14</v>
      </c>
      <c r="H391" t="s">
        <v>99</v>
      </c>
      <c r="I391" t="s">
        <v>15</v>
      </c>
      <c r="J391" t="s">
        <v>40</v>
      </c>
      <c r="L391">
        <v>6</v>
      </c>
      <c r="M391" s="1">
        <v>45585</v>
      </c>
    </row>
    <row r="392" spans="1:13" x14ac:dyDescent="0.35">
      <c r="A392" t="s">
        <v>718</v>
      </c>
      <c r="B392" t="s">
        <v>719</v>
      </c>
      <c r="C392" t="s">
        <v>119</v>
      </c>
      <c r="D392">
        <v>38</v>
      </c>
      <c r="E392">
        <v>38</v>
      </c>
      <c r="F392">
        <v>0</v>
      </c>
      <c r="G392" t="s">
        <v>14</v>
      </c>
      <c r="H392" t="s">
        <v>99</v>
      </c>
      <c r="I392" t="s">
        <v>88</v>
      </c>
      <c r="J392" t="s">
        <v>20</v>
      </c>
      <c r="K392">
        <v>30000</v>
      </c>
      <c r="L392">
        <v>9</v>
      </c>
      <c r="M392" s="1">
        <v>45501</v>
      </c>
    </row>
    <row r="393" spans="1:13" x14ac:dyDescent="0.35">
      <c r="A393" t="s">
        <v>720</v>
      </c>
      <c r="B393" t="s">
        <v>721</v>
      </c>
      <c r="C393" t="s">
        <v>69</v>
      </c>
      <c r="D393">
        <v>31</v>
      </c>
      <c r="E393">
        <v>31</v>
      </c>
      <c r="F393">
        <v>0</v>
      </c>
      <c r="G393" t="s">
        <v>14</v>
      </c>
      <c r="H393" t="s">
        <v>19</v>
      </c>
      <c r="I393" t="s">
        <v>2154</v>
      </c>
      <c r="J393" t="s">
        <v>26</v>
      </c>
      <c r="L393">
        <v>1</v>
      </c>
      <c r="M393" s="1">
        <v>45380</v>
      </c>
    </row>
    <row r="394" spans="1:13" x14ac:dyDescent="0.35">
      <c r="A394" t="s">
        <v>722</v>
      </c>
      <c r="B394" t="s">
        <v>723</v>
      </c>
      <c r="C394" t="s">
        <v>154</v>
      </c>
      <c r="D394">
        <v>6</v>
      </c>
      <c r="E394">
        <v>6</v>
      </c>
      <c r="F394">
        <v>0</v>
      </c>
      <c r="G394" t="s">
        <v>25</v>
      </c>
      <c r="H394" t="s">
        <v>99</v>
      </c>
      <c r="I394" t="s">
        <v>2154</v>
      </c>
      <c r="J394" t="s">
        <v>26</v>
      </c>
      <c r="L394">
        <v>1</v>
      </c>
      <c r="M394" s="1">
        <v>45495</v>
      </c>
    </row>
    <row r="395" spans="1:13" x14ac:dyDescent="0.35">
      <c r="A395" t="s">
        <v>724</v>
      </c>
      <c r="B395" t="s">
        <v>725</v>
      </c>
      <c r="C395" t="s">
        <v>154</v>
      </c>
      <c r="D395">
        <v>21</v>
      </c>
      <c r="E395">
        <v>21</v>
      </c>
      <c r="F395">
        <v>0</v>
      </c>
      <c r="G395" t="s">
        <v>25</v>
      </c>
      <c r="H395" t="s">
        <v>99</v>
      </c>
      <c r="I395" t="s">
        <v>15</v>
      </c>
      <c r="J395" t="s">
        <v>16</v>
      </c>
      <c r="L395">
        <v>3</v>
      </c>
      <c r="M395" s="1">
        <v>45406</v>
      </c>
    </row>
    <row r="396" spans="1:13" x14ac:dyDescent="0.35">
      <c r="A396" t="s">
        <v>2164</v>
      </c>
      <c r="B396" t="s">
        <v>656</v>
      </c>
      <c r="C396" t="s">
        <v>13</v>
      </c>
      <c r="D396">
        <v>38</v>
      </c>
      <c r="E396">
        <v>38</v>
      </c>
      <c r="F396">
        <v>0</v>
      </c>
      <c r="G396" t="s">
        <v>25</v>
      </c>
      <c r="H396" t="s">
        <v>99</v>
      </c>
      <c r="I396" t="s">
        <v>88</v>
      </c>
      <c r="J396" t="s">
        <v>37</v>
      </c>
      <c r="K396">
        <v>52183</v>
      </c>
      <c r="L396">
        <v>9</v>
      </c>
      <c r="M396" s="1">
        <v>45488</v>
      </c>
    </row>
    <row r="397" spans="1:13" x14ac:dyDescent="0.35">
      <c r="A397" t="s">
        <v>726</v>
      </c>
      <c r="B397" t="s">
        <v>727</v>
      </c>
      <c r="C397" t="s">
        <v>13</v>
      </c>
      <c r="D397">
        <v>29</v>
      </c>
      <c r="E397">
        <v>29</v>
      </c>
      <c r="F397">
        <v>0</v>
      </c>
      <c r="G397" t="s">
        <v>25</v>
      </c>
      <c r="H397" t="s">
        <v>19</v>
      </c>
      <c r="I397" t="s">
        <v>88</v>
      </c>
      <c r="J397" t="s">
        <v>20</v>
      </c>
      <c r="K397">
        <v>94899</v>
      </c>
      <c r="L397">
        <v>3</v>
      </c>
      <c r="M397" s="1">
        <v>45538</v>
      </c>
    </row>
    <row r="398" spans="1:13" x14ac:dyDescent="0.35">
      <c r="A398" t="s">
        <v>728</v>
      </c>
      <c r="B398" t="s">
        <v>729</v>
      </c>
      <c r="C398" t="s">
        <v>119</v>
      </c>
      <c r="D398">
        <v>24</v>
      </c>
      <c r="E398">
        <v>24</v>
      </c>
      <c r="F398">
        <v>0</v>
      </c>
      <c r="G398" t="s">
        <v>14</v>
      </c>
      <c r="H398" t="s">
        <v>19</v>
      </c>
      <c r="I398" t="s">
        <v>15</v>
      </c>
      <c r="J398" t="s">
        <v>26</v>
      </c>
      <c r="L398">
        <v>3</v>
      </c>
      <c r="M398" s="1">
        <v>45293</v>
      </c>
    </row>
    <row r="399" spans="1:13" x14ac:dyDescent="0.35">
      <c r="A399" t="s">
        <v>730</v>
      </c>
      <c r="B399" t="s">
        <v>731</v>
      </c>
      <c r="C399" t="s">
        <v>130</v>
      </c>
      <c r="D399">
        <v>26</v>
      </c>
      <c r="E399">
        <v>26</v>
      </c>
      <c r="F399">
        <v>0</v>
      </c>
      <c r="G399" t="s">
        <v>25</v>
      </c>
      <c r="H399" t="s">
        <v>19</v>
      </c>
      <c r="I399" t="s">
        <v>105</v>
      </c>
      <c r="J399" t="s">
        <v>26</v>
      </c>
      <c r="L399">
        <v>6</v>
      </c>
      <c r="M399" s="1">
        <v>45537</v>
      </c>
    </row>
    <row r="400" spans="1:13" x14ac:dyDescent="0.35">
      <c r="A400" t="s">
        <v>732</v>
      </c>
      <c r="B400" t="s">
        <v>396</v>
      </c>
      <c r="C400" t="s">
        <v>117</v>
      </c>
      <c r="D400">
        <v>8</v>
      </c>
      <c r="E400">
        <v>8</v>
      </c>
      <c r="F400">
        <v>0</v>
      </c>
      <c r="G400" t="s">
        <v>25</v>
      </c>
      <c r="H400" t="s">
        <v>99</v>
      </c>
      <c r="I400" t="s">
        <v>88</v>
      </c>
      <c r="J400" t="s">
        <v>26</v>
      </c>
      <c r="L400">
        <v>4</v>
      </c>
      <c r="M400" s="1">
        <v>45484</v>
      </c>
    </row>
    <row r="401" spans="1:13" x14ac:dyDescent="0.35">
      <c r="A401" t="s">
        <v>733</v>
      </c>
      <c r="B401" t="s">
        <v>734</v>
      </c>
      <c r="C401" t="s">
        <v>45</v>
      </c>
      <c r="D401">
        <v>56</v>
      </c>
      <c r="E401">
        <v>56</v>
      </c>
      <c r="F401">
        <v>0</v>
      </c>
      <c r="G401" t="s">
        <v>14</v>
      </c>
      <c r="H401" t="s">
        <v>99</v>
      </c>
      <c r="I401" t="s">
        <v>105</v>
      </c>
      <c r="J401" t="s">
        <v>20</v>
      </c>
      <c r="K401">
        <v>71573</v>
      </c>
      <c r="L401">
        <v>7</v>
      </c>
      <c r="M401" s="1">
        <v>45364</v>
      </c>
    </row>
    <row r="402" spans="1:13" x14ac:dyDescent="0.35">
      <c r="A402" t="s">
        <v>735</v>
      </c>
      <c r="B402" t="s">
        <v>210</v>
      </c>
      <c r="C402" t="s">
        <v>119</v>
      </c>
      <c r="D402">
        <v>30</v>
      </c>
      <c r="E402">
        <v>30</v>
      </c>
      <c r="F402">
        <v>0</v>
      </c>
      <c r="G402" t="s">
        <v>14</v>
      </c>
      <c r="H402" t="s">
        <v>58</v>
      </c>
      <c r="I402" t="s">
        <v>88</v>
      </c>
      <c r="J402" t="s">
        <v>16</v>
      </c>
      <c r="L402">
        <v>9</v>
      </c>
      <c r="M402" s="1">
        <v>45459</v>
      </c>
    </row>
    <row r="403" spans="1:13" x14ac:dyDescent="0.35">
      <c r="A403" t="s">
        <v>736</v>
      </c>
      <c r="B403" t="s">
        <v>737</v>
      </c>
      <c r="C403" t="s">
        <v>154</v>
      </c>
      <c r="D403">
        <v>44</v>
      </c>
      <c r="E403">
        <v>44</v>
      </c>
      <c r="F403">
        <v>0</v>
      </c>
      <c r="G403" t="s">
        <v>25</v>
      </c>
      <c r="H403" t="s">
        <v>32</v>
      </c>
      <c r="I403" t="s">
        <v>15</v>
      </c>
      <c r="J403" t="s">
        <v>16</v>
      </c>
      <c r="L403">
        <v>8</v>
      </c>
      <c r="M403" s="1">
        <v>45372</v>
      </c>
    </row>
    <row r="404" spans="1:13" x14ac:dyDescent="0.35">
      <c r="A404" t="s">
        <v>2165</v>
      </c>
      <c r="B404" t="s">
        <v>738</v>
      </c>
      <c r="C404" t="s">
        <v>45</v>
      </c>
      <c r="D404">
        <v>56</v>
      </c>
      <c r="E404">
        <v>56</v>
      </c>
      <c r="F404">
        <v>0</v>
      </c>
      <c r="G404" t="s">
        <v>14</v>
      </c>
      <c r="H404" t="s">
        <v>19</v>
      </c>
      <c r="I404" t="s">
        <v>105</v>
      </c>
      <c r="J404" t="s">
        <v>20</v>
      </c>
      <c r="K404">
        <v>67734</v>
      </c>
      <c r="L404">
        <v>1</v>
      </c>
      <c r="M404" s="1">
        <v>45558</v>
      </c>
    </row>
    <row r="405" spans="1:13" x14ac:dyDescent="0.35">
      <c r="A405" t="s">
        <v>739</v>
      </c>
      <c r="B405" t="s">
        <v>740</v>
      </c>
      <c r="C405" t="s">
        <v>130</v>
      </c>
      <c r="D405">
        <v>37</v>
      </c>
      <c r="E405">
        <v>37</v>
      </c>
      <c r="F405">
        <v>0</v>
      </c>
      <c r="G405" t="s">
        <v>25</v>
      </c>
      <c r="H405" t="s">
        <v>19</v>
      </c>
      <c r="I405" t="s">
        <v>88</v>
      </c>
      <c r="J405" t="s">
        <v>37</v>
      </c>
      <c r="K405">
        <v>49171</v>
      </c>
      <c r="L405">
        <v>1</v>
      </c>
      <c r="M405" s="1">
        <v>45554</v>
      </c>
    </row>
    <row r="406" spans="1:13" x14ac:dyDescent="0.35">
      <c r="A406" t="s">
        <v>741</v>
      </c>
      <c r="B406" t="s">
        <v>742</v>
      </c>
      <c r="C406" t="s">
        <v>69</v>
      </c>
      <c r="D406">
        <v>36</v>
      </c>
      <c r="E406">
        <v>36</v>
      </c>
      <c r="F406">
        <v>0</v>
      </c>
      <c r="G406" t="s">
        <v>14</v>
      </c>
      <c r="H406" t="s">
        <v>19</v>
      </c>
      <c r="I406" t="s">
        <v>15</v>
      </c>
      <c r="J406" t="s">
        <v>37</v>
      </c>
      <c r="K406">
        <v>80423</v>
      </c>
      <c r="L406">
        <v>1</v>
      </c>
      <c r="M406" s="1">
        <v>45499</v>
      </c>
    </row>
    <row r="407" spans="1:13" x14ac:dyDescent="0.35">
      <c r="A407" t="s">
        <v>743</v>
      </c>
      <c r="B407" t="s">
        <v>742</v>
      </c>
      <c r="C407" t="s">
        <v>172</v>
      </c>
      <c r="D407">
        <v>36</v>
      </c>
      <c r="E407">
        <v>36</v>
      </c>
      <c r="F407">
        <v>0</v>
      </c>
      <c r="G407" t="s">
        <v>14</v>
      </c>
      <c r="H407" t="s">
        <v>32</v>
      </c>
      <c r="I407" t="s">
        <v>105</v>
      </c>
      <c r="J407" t="s">
        <v>37</v>
      </c>
      <c r="K407">
        <v>61771</v>
      </c>
      <c r="L407">
        <v>9</v>
      </c>
      <c r="M407" s="1">
        <v>45452</v>
      </c>
    </row>
    <row r="408" spans="1:13" x14ac:dyDescent="0.35">
      <c r="A408" t="s">
        <v>744</v>
      </c>
      <c r="B408" t="s">
        <v>608</v>
      </c>
      <c r="C408" t="s">
        <v>69</v>
      </c>
      <c r="D408">
        <v>21</v>
      </c>
      <c r="E408">
        <v>21</v>
      </c>
      <c r="F408">
        <v>0</v>
      </c>
      <c r="G408" t="s">
        <v>25</v>
      </c>
      <c r="H408" t="s">
        <v>19</v>
      </c>
      <c r="I408" t="s">
        <v>15</v>
      </c>
      <c r="J408" t="s">
        <v>26</v>
      </c>
      <c r="L408">
        <v>8</v>
      </c>
      <c r="M408" s="1">
        <v>45363</v>
      </c>
    </row>
    <row r="409" spans="1:13" x14ac:dyDescent="0.35">
      <c r="A409" t="s">
        <v>745</v>
      </c>
      <c r="B409" t="s">
        <v>746</v>
      </c>
      <c r="C409" t="s">
        <v>184</v>
      </c>
      <c r="D409">
        <v>51</v>
      </c>
      <c r="E409">
        <v>51</v>
      </c>
      <c r="F409">
        <v>0</v>
      </c>
      <c r="G409" t="s">
        <v>14</v>
      </c>
      <c r="H409" t="s">
        <v>19</v>
      </c>
      <c r="I409" t="s">
        <v>2153</v>
      </c>
      <c r="J409" t="s">
        <v>26</v>
      </c>
      <c r="L409">
        <v>2</v>
      </c>
      <c r="M409" s="1">
        <v>45567</v>
      </c>
    </row>
    <row r="410" spans="1:13" x14ac:dyDescent="0.35">
      <c r="A410" t="s">
        <v>2166</v>
      </c>
      <c r="B410" t="s">
        <v>747</v>
      </c>
      <c r="C410" t="s">
        <v>119</v>
      </c>
      <c r="D410">
        <v>38</v>
      </c>
      <c r="E410">
        <v>38</v>
      </c>
      <c r="F410">
        <v>0</v>
      </c>
      <c r="G410" t="s">
        <v>14</v>
      </c>
      <c r="H410" t="s">
        <v>32</v>
      </c>
      <c r="I410" t="s">
        <v>15</v>
      </c>
      <c r="J410" t="s">
        <v>20</v>
      </c>
      <c r="K410">
        <v>59445</v>
      </c>
      <c r="L410">
        <v>1</v>
      </c>
      <c r="M410" s="1">
        <v>45305</v>
      </c>
    </row>
    <row r="411" spans="1:13" x14ac:dyDescent="0.35">
      <c r="A411" t="s">
        <v>748</v>
      </c>
      <c r="B411" t="s">
        <v>749</v>
      </c>
      <c r="C411" t="s">
        <v>29</v>
      </c>
      <c r="D411">
        <v>23</v>
      </c>
      <c r="E411">
        <v>23</v>
      </c>
      <c r="F411">
        <v>0</v>
      </c>
      <c r="G411" t="s">
        <v>14</v>
      </c>
      <c r="H411" t="s">
        <v>19</v>
      </c>
      <c r="I411" t="s">
        <v>15</v>
      </c>
      <c r="J411" t="s">
        <v>20</v>
      </c>
      <c r="K411">
        <v>66725</v>
      </c>
      <c r="L411">
        <v>1</v>
      </c>
      <c r="M411" s="1">
        <v>45489</v>
      </c>
    </row>
    <row r="412" spans="1:13" x14ac:dyDescent="0.35">
      <c r="A412" t="s">
        <v>750</v>
      </c>
      <c r="B412" t="s">
        <v>751</v>
      </c>
      <c r="C412" t="s">
        <v>154</v>
      </c>
      <c r="D412">
        <v>9</v>
      </c>
      <c r="E412">
        <v>9</v>
      </c>
      <c r="F412">
        <v>0</v>
      </c>
      <c r="G412" t="s">
        <v>14</v>
      </c>
      <c r="H412" t="s">
        <v>99</v>
      </c>
      <c r="I412" t="s">
        <v>2153</v>
      </c>
      <c r="J412" t="s">
        <v>26</v>
      </c>
      <c r="L412">
        <v>3</v>
      </c>
      <c r="M412" s="1">
        <v>45515</v>
      </c>
    </row>
    <row r="413" spans="1:13" x14ac:dyDescent="0.35">
      <c r="A413" t="s">
        <v>752</v>
      </c>
      <c r="B413" t="s">
        <v>608</v>
      </c>
      <c r="C413" t="s">
        <v>119</v>
      </c>
      <c r="D413">
        <v>47</v>
      </c>
      <c r="E413">
        <v>47</v>
      </c>
      <c r="F413">
        <v>0</v>
      </c>
      <c r="G413" t="s">
        <v>25</v>
      </c>
      <c r="H413" t="s">
        <v>32</v>
      </c>
      <c r="I413" t="s">
        <v>105</v>
      </c>
      <c r="J413" t="s">
        <v>40</v>
      </c>
      <c r="L413">
        <v>3</v>
      </c>
      <c r="M413" s="1">
        <v>45337</v>
      </c>
    </row>
    <row r="414" spans="1:13" x14ac:dyDescent="0.35">
      <c r="A414" t="s">
        <v>753</v>
      </c>
      <c r="B414" t="s">
        <v>438</v>
      </c>
      <c r="C414" t="s">
        <v>45</v>
      </c>
      <c r="D414">
        <v>35</v>
      </c>
      <c r="F414">
        <v>1</v>
      </c>
      <c r="G414" t="s">
        <v>25</v>
      </c>
      <c r="H414" t="s">
        <v>19</v>
      </c>
      <c r="I414" t="s">
        <v>15</v>
      </c>
      <c r="J414" t="s">
        <v>40</v>
      </c>
      <c r="L414">
        <v>8</v>
      </c>
      <c r="M414" s="1">
        <v>45527</v>
      </c>
    </row>
    <row r="415" spans="1:13" x14ac:dyDescent="0.35">
      <c r="A415" t="s">
        <v>754</v>
      </c>
      <c r="B415" t="s">
        <v>73</v>
      </c>
      <c r="C415" t="s">
        <v>184</v>
      </c>
      <c r="D415">
        <v>32</v>
      </c>
      <c r="E415">
        <v>32</v>
      </c>
      <c r="F415">
        <v>0</v>
      </c>
      <c r="G415" t="s">
        <v>25</v>
      </c>
      <c r="H415" t="s">
        <v>32</v>
      </c>
      <c r="I415" t="s">
        <v>15</v>
      </c>
      <c r="J415" t="s">
        <v>40</v>
      </c>
      <c r="L415">
        <v>8</v>
      </c>
      <c r="M415" s="1">
        <v>45428</v>
      </c>
    </row>
    <row r="416" spans="1:13" x14ac:dyDescent="0.35">
      <c r="A416" t="s">
        <v>755</v>
      </c>
      <c r="B416" t="s">
        <v>742</v>
      </c>
      <c r="C416" t="s">
        <v>29</v>
      </c>
      <c r="D416">
        <v>53</v>
      </c>
      <c r="E416">
        <v>53</v>
      </c>
      <c r="F416">
        <v>0</v>
      </c>
      <c r="G416" t="s">
        <v>14</v>
      </c>
      <c r="H416" t="s">
        <v>19</v>
      </c>
      <c r="I416" t="s">
        <v>88</v>
      </c>
      <c r="J416" t="s">
        <v>20</v>
      </c>
      <c r="K416">
        <v>75584</v>
      </c>
      <c r="L416">
        <v>4</v>
      </c>
      <c r="M416" s="1">
        <v>45323</v>
      </c>
    </row>
    <row r="417" spans="1:13" x14ac:dyDescent="0.35">
      <c r="A417" t="s">
        <v>756</v>
      </c>
      <c r="B417" t="s">
        <v>550</v>
      </c>
      <c r="C417" t="s">
        <v>13</v>
      </c>
      <c r="D417">
        <v>57</v>
      </c>
      <c r="E417">
        <v>57</v>
      </c>
      <c r="F417">
        <v>0</v>
      </c>
      <c r="G417" t="s">
        <v>25</v>
      </c>
      <c r="H417" t="s">
        <v>32</v>
      </c>
      <c r="I417" t="s">
        <v>15</v>
      </c>
      <c r="J417" t="s">
        <v>20</v>
      </c>
      <c r="K417">
        <v>49971</v>
      </c>
      <c r="L417">
        <v>4</v>
      </c>
      <c r="M417" s="1">
        <v>45535</v>
      </c>
    </row>
    <row r="418" spans="1:13" x14ac:dyDescent="0.35">
      <c r="A418" t="s">
        <v>757</v>
      </c>
      <c r="B418" t="s">
        <v>758</v>
      </c>
      <c r="C418" t="s">
        <v>117</v>
      </c>
      <c r="D418">
        <v>42</v>
      </c>
      <c r="E418">
        <v>42</v>
      </c>
      <c r="F418">
        <v>0</v>
      </c>
      <c r="G418" t="s">
        <v>25</v>
      </c>
      <c r="H418" t="s">
        <v>58</v>
      </c>
      <c r="I418" t="s">
        <v>105</v>
      </c>
      <c r="J418" t="s">
        <v>26</v>
      </c>
      <c r="L418">
        <v>5</v>
      </c>
      <c r="M418" s="1">
        <v>45297</v>
      </c>
    </row>
    <row r="419" spans="1:13" x14ac:dyDescent="0.35">
      <c r="A419" t="s">
        <v>2167</v>
      </c>
      <c r="B419" t="s">
        <v>759</v>
      </c>
      <c r="C419" t="s">
        <v>13</v>
      </c>
      <c r="D419">
        <v>35</v>
      </c>
      <c r="E419">
        <v>35</v>
      </c>
      <c r="F419">
        <v>0</v>
      </c>
      <c r="G419" t="s">
        <v>14</v>
      </c>
      <c r="H419" t="s">
        <v>58</v>
      </c>
      <c r="I419" t="s">
        <v>15</v>
      </c>
      <c r="J419" t="s">
        <v>26</v>
      </c>
      <c r="L419">
        <v>5</v>
      </c>
      <c r="M419" s="1">
        <v>45480</v>
      </c>
    </row>
    <row r="420" spans="1:13" x14ac:dyDescent="0.35">
      <c r="A420" t="s">
        <v>760</v>
      </c>
      <c r="B420" t="s">
        <v>761</v>
      </c>
      <c r="C420" t="s">
        <v>172</v>
      </c>
      <c r="D420">
        <v>23</v>
      </c>
      <c r="E420">
        <v>23</v>
      </c>
      <c r="F420">
        <v>0</v>
      </c>
      <c r="G420" t="s">
        <v>25</v>
      </c>
      <c r="H420" t="s">
        <v>32</v>
      </c>
      <c r="I420" t="s">
        <v>88</v>
      </c>
      <c r="J420" t="s">
        <v>37</v>
      </c>
      <c r="K420">
        <v>48002</v>
      </c>
      <c r="L420">
        <v>9</v>
      </c>
      <c r="M420" s="1">
        <v>45484</v>
      </c>
    </row>
    <row r="421" spans="1:13" x14ac:dyDescent="0.35">
      <c r="A421" t="s">
        <v>762</v>
      </c>
      <c r="B421" t="s">
        <v>410</v>
      </c>
      <c r="C421" t="s">
        <v>119</v>
      </c>
      <c r="D421">
        <v>11</v>
      </c>
      <c r="E421">
        <v>11</v>
      </c>
      <c r="F421">
        <v>0</v>
      </c>
      <c r="G421" t="s">
        <v>14</v>
      </c>
      <c r="H421" t="s">
        <v>99</v>
      </c>
      <c r="I421" t="s">
        <v>105</v>
      </c>
      <c r="J421" t="s">
        <v>26</v>
      </c>
      <c r="L421">
        <v>3</v>
      </c>
      <c r="M421" s="1">
        <v>45362</v>
      </c>
    </row>
    <row r="422" spans="1:13" x14ac:dyDescent="0.35">
      <c r="A422" t="s">
        <v>763</v>
      </c>
      <c r="B422" t="s">
        <v>764</v>
      </c>
      <c r="C422" t="s">
        <v>154</v>
      </c>
      <c r="D422">
        <v>31</v>
      </c>
      <c r="E422">
        <v>31</v>
      </c>
      <c r="F422">
        <v>0</v>
      </c>
      <c r="G422" t="s">
        <v>14</v>
      </c>
      <c r="H422" t="s">
        <v>58</v>
      </c>
      <c r="I422" t="s">
        <v>88</v>
      </c>
      <c r="J422" t="s">
        <v>26</v>
      </c>
      <c r="L422">
        <v>7</v>
      </c>
      <c r="M422" s="1">
        <v>45475</v>
      </c>
    </row>
    <row r="423" spans="1:13" x14ac:dyDescent="0.35">
      <c r="A423" t="s">
        <v>765</v>
      </c>
      <c r="B423" t="s">
        <v>766</v>
      </c>
      <c r="C423" t="s">
        <v>119</v>
      </c>
      <c r="D423">
        <v>73</v>
      </c>
      <c r="E423">
        <v>73</v>
      </c>
      <c r="F423">
        <v>0</v>
      </c>
      <c r="G423" t="s">
        <v>14</v>
      </c>
      <c r="H423" t="s">
        <v>99</v>
      </c>
      <c r="I423" t="s">
        <v>15</v>
      </c>
      <c r="J423" t="s">
        <v>20</v>
      </c>
      <c r="K423">
        <v>68823</v>
      </c>
      <c r="L423">
        <v>8</v>
      </c>
      <c r="M423" s="1">
        <v>45495</v>
      </c>
    </row>
    <row r="424" spans="1:13" x14ac:dyDescent="0.35">
      <c r="A424" t="s">
        <v>767</v>
      </c>
      <c r="B424" t="s">
        <v>768</v>
      </c>
      <c r="C424" t="s">
        <v>69</v>
      </c>
      <c r="D424">
        <v>3</v>
      </c>
      <c r="E424">
        <v>3</v>
      </c>
      <c r="F424">
        <v>0</v>
      </c>
      <c r="G424" t="s">
        <v>14</v>
      </c>
      <c r="H424" t="s">
        <v>99</v>
      </c>
      <c r="I424" t="s">
        <v>2154</v>
      </c>
      <c r="J424" t="s">
        <v>26</v>
      </c>
      <c r="L424">
        <v>8</v>
      </c>
      <c r="M424" s="1">
        <v>45443</v>
      </c>
    </row>
    <row r="425" spans="1:13" x14ac:dyDescent="0.35">
      <c r="A425" t="s">
        <v>769</v>
      </c>
      <c r="B425" t="s">
        <v>770</v>
      </c>
      <c r="C425" t="s">
        <v>45</v>
      </c>
      <c r="D425">
        <v>44</v>
      </c>
      <c r="E425">
        <v>44</v>
      </c>
      <c r="F425">
        <v>0</v>
      </c>
      <c r="G425" t="s">
        <v>14</v>
      </c>
      <c r="H425" t="s">
        <v>32</v>
      </c>
      <c r="I425" t="s">
        <v>2153</v>
      </c>
      <c r="J425" t="s">
        <v>20</v>
      </c>
      <c r="K425">
        <v>39194</v>
      </c>
      <c r="L425">
        <v>4</v>
      </c>
      <c r="M425" s="1">
        <v>45437</v>
      </c>
    </row>
    <row r="426" spans="1:13" x14ac:dyDescent="0.35">
      <c r="A426" t="s">
        <v>771</v>
      </c>
      <c r="B426" t="s">
        <v>772</v>
      </c>
      <c r="C426" t="s">
        <v>29</v>
      </c>
      <c r="D426">
        <v>23</v>
      </c>
      <c r="E426">
        <v>23</v>
      </c>
      <c r="F426">
        <v>0</v>
      </c>
      <c r="G426" t="s">
        <v>25</v>
      </c>
      <c r="H426" t="s">
        <v>58</v>
      </c>
      <c r="I426" t="s">
        <v>88</v>
      </c>
      <c r="J426" t="s">
        <v>26</v>
      </c>
      <c r="L426">
        <v>2</v>
      </c>
      <c r="M426" s="1">
        <v>45525</v>
      </c>
    </row>
    <row r="427" spans="1:13" x14ac:dyDescent="0.35">
      <c r="A427" t="s">
        <v>773</v>
      </c>
      <c r="B427" t="s">
        <v>774</v>
      </c>
      <c r="C427" t="s">
        <v>29</v>
      </c>
      <c r="D427">
        <v>6</v>
      </c>
      <c r="E427">
        <v>6</v>
      </c>
      <c r="F427">
        <v>0</v>
      </c>
      <c r="G427" t="s">
        <v>14</v>
      </c>
      <c r="H427" t="s">
        <v>99</v>
      </c>
      <c r="I427" t="s">
        <v>2153</v>
      </c>
      <c r="J427" t="s">
        <v>26</v>
      </c>
      <c r="L427">
        <v>3</v>
      </c>
      <c r="M427" s="1">
        <v>45479</v>
      </c>
    </row>
    <row r="428" spans="1:13" x14ac:dyDescent="0.35">
      <c r="A428" t="s">
        <v>775</v>
      </c>
      <c r="B428" t="s">
        <v>162</v>
      </c>
      <c r="C428" t="s">
        <v>29</v>
      </c>
      <c r="D428">
        <v>40</v>
      </c>
      <c r="E428">
        <v>40</v>
      </c>
      <c r="F428">
        <v>0</v>
      </c>
      <c r="G428" t="s">
        <v>14</v>
      </c>
      <c r="H428" t="s">
        <v>58</v>
      </c>
      <c r="I428" t="s">
        <v>2154</v>
      </c>
      <c r="J428" t="s">
        <v>37</v>
      </c>
      <c r="K428">
        <v>50151</v>
      </c>
      <c r="L428">
        <v>2</v>
      </c>
      <c r="M428" s="1">
        <v>45300</v>
      </c>
    </row>
    <row r="429" spans="1:13" x14ac:dyDescent="0.35">
      <c r="A429" t="s">
        <v>776</v>
      </c>
      <c r="B429" t="s">
        <v>263</v>
      </c>
      <c r="C429" t="s">
        <v>119</v>
      </c>
      <c r="D429">
        <v>42</v>
      </c>
      <c r="E429">
        <v>42</v>
      </c>
      <c r="F429">
        <v>0</v>
      </c>
      <c r="G429" t="s">
        <v>14</v>
      </c>
      <c r="H429" t="s">
        <v>99</v>
      </c>
      <c r="I429" t="s">
        <v>15</v>
      </c>
      <c r="J429" t="s">
        <v>37</v>
      </c>
      <c r="K429">
        <v>96890</v>
      </c>
      <c r="L429">
        <v>7</v>
      </c>
      <c r="M429" s="1">
        <v>45575</v>
      </c>
    </row>
    <row r="430" spans="1:13" x14ac:dyDescent="0.35">
      <c r="A430" t="s">
        <v>777</v>
      </c>
      <c r="B430" t="s">
        <v>721</v>
      </c>
      <c r="C430" t="s">
        <v>130</v>
      </c>
      <c r="D430">
        <v>18</v>
      </c>
      <c r="E430">
        <v>18</v>
      </c>
      <c r="F430">
        <v>0</v>
      </c>
      <c r="G430" t="s">
        <v>14</v>
      </c>
      <c r="H430" t="s">
        <v>99</v>
      </c>
      <c r="I430" t="s">
        <v>88</v>
      </c>
      <c r="J430" t="s">
        <v>20</v>
      </c>
      <c r="K430">
        <v>149112</v>
      </c>
      <c r="L430">
        <v>4</v>
      </c>
      <c r="M430" s="1">
        <v>45512</v>
      </c>
    </row>
    <row r="431" spans="1:13" x14ac:dyDescent="0.35">
      <c r="A431" t="s">
        <v>778</v>
      </c>
      <c r="B431" t="s">
        <v>779</v>
      </c>
      <c r="C431" t="s">
        <v>69</v>
      </c>
      <c r="D431">
        <v>22</v>
      </c>
      <c r="E431">
        <v>22</v>
      </c>
      <c r="F431">
        <v>0</v>
      </c>
      <c r="G431" t="s">
        <v>25</v>
      </c>
      <c r="H431" t="s">
        <v>58</v>
      </c>
      <c r="I431" t="s">
        <v>88</v>
      </c>
      <c r="J431" t="s">
        <v>37</v>
      </c>
      <c r="K431">
        <v>45759</v>
      </c>
      <c r="L431">
        <v>6</v>
      </c>
      <c r="M431" s="1">
        <v>45457</v>
      </c>
    </row>
    <row r="432" spans="1:13" x14ac:dyDescent="0.35">
      <c r="A432" t="s">
        <v>780</v>
      </c>
      <c r="B432" t="s">
        <v>781</v>
      </c>
      <c r="C432" t="s">
        <v>45</v>
      </c>
      <c r="D432">
        <v>37</v>
      </c>
      <c r="E432">
        <v>37</v>
      </c>
      <c r="F432">
        <v>0</v>
      </c>
      <c r="G432" t="s">
        <v>14</v>
      </c>
      <c r="H432" t="s">
        <v>19</v>
      </c>
      <c r="I432" t="s">
        <v>88</v>
      </c>
      <c r="J432" t="s">
        <v>37</v>
      </c>
      <c r="K432">
        <v>30000</v>
      </c>
      <c r="L432">
        <v>2</v>
      </c>
      <c r="M432" s="1">
        <v>45548</v>
      </c>
    </row>
    <row r="433" spans="1:13" x14ac:dyDescent="0.35">
      <c r="A433" t="s">
        <v>782</v>
      </c>
      <c r="B433" t="s">
        <v>783</v>
      </c>
      <c r="C433" t="s">
        <v>29</v>
      </c>
      <c r="D433">
        <v>51</v>
      </c>
      <c r="E433">
        <v>51</v>
      </c>
      <c r="F433">
        <v>0</v>
      </c>
      <c r="G433" t="s">
        <v>25</v>
      </c>
      <c r="H433" t="s">
        <v>32</v>
      </c>
      <c r="I433" t="s">
        <v>2154</v>
      </c>
      <c r="J433" t="s">
        <v>40</v>
      </c>
      <c r="L433">
        <v>2</v>
      </c>
      <c r="M433" s="1">
        <v>45582</v>
      </c>
    </row>
    <row r="434" spans="1:13" x14ac:dyDescent="0.35">
      <c r="A434" t="s">
        <v>784</v>
      </c>
      <c r="B434" t="s">
        <v>785</v>
      </c>
      <c r="C434" t="s">
        <v>29</v>
      </c>
      <c r="D434">
        <v>35</v>
      </c>
      <c r="F434">
        <v>1</v>
      </c>
      <c r="G434" t="s">
        <v>25</v>
      </c>
      <c r="H434" t="s">
        <v>19</v>
      </c>
      <c r="I434" t="s">
        <v>15</v>
      </c>
      <c r="J434" t="s">
        <v>26</v>
      </c>
      <c r="L434">
        <v>5</v>
      </c>
      <c r="M434" s="1">
        <v>45499</v>
      </c>
    </row>
    <row r="435" spans="1:13" x14ac:dyDescent="0.35">
      <c r="A435" t="s">
        <v>786</v>
      </c>
      <c r="B435" t="s">
        <v>787</v>
      </c>
      <c r="C435" t="s">
        <v>130</v>
      </c>
      <c r="D435">
        <v>54</v>
      </c>
      <c r="E435">
        <v>54</v>
      </c>
      <c r="F435">
        <v>0</v>
      </c>
      <c r="G435" t="s">
        <v>25</v>
      </c>
      <c r="H435" t="s">
        <v>19</v>
      </c>
      <c r="I435" t="s">
        <v>105</v>
      </c>
      <c r="J435" t="s">
        <v>16</v>
      </c>
      <c r="L435">
        <v>9</v>
      </c>
      <c r="M435" s="1">
        <v>45425</v>
      </c>
    </row>
    <row r="436" spans="1:13" x14ac:dyDescent="0.35">
      <c r="A436" t="s">
        <v>788</v>
      </c>
      <c r="B436" t="s">
        <v>538</v>
      </c>
      <c r="C436" t="s">
        <v>13</v>
      </c>
      <c r="D436">
        <v>41</v>
      </c>
      <c r="E436">
        <v>41</v>
      </c>
      <c r="F436">
        <v>0</v>
      </c>
      <c r="G436" t="s">
        <v>25</v>
      </c>
      <c r="H436" t="s">
        <v>19</v>
      </c>
      <c r="I436" t="s">
        <v>15</v>
      </c>
      <c r="J436" t="s">
        <v>16</v>
      </c>
      <c r="L436">
        <v>6</v>
      </c>
      <c r="M436" s="1">
        <v>45591</v>
      </c>
    </row>
    <row r="437" spans="1:13" x14ac:dyDescent="0.35">
      <c r="A437" t="s">
        <v>789</v>
      </c>
      <c r="B437" t="s">
        <v>667</v>
      </c>
      <c r="C437" t="s">
        <v>130</v>
      </c>
      <c r="D437">
        <v>22</v>
      </c>
      <c r="E437">
        <v>22</v>
      </c>
      <c r="F437">
        <v>0</v>
      </c>
      <c r="G437" t="s">
        <v>25</v>
      </c>
      <c r="H437" t="s">
        <v>32</v>
      </c>
      <c r="I437" t="s">
        <v>2154</v>
      </c>
      <c r="J437" t="s">
        <v>20</v>
      </c>
      <c r="K437">
        <v>41423</v>
      </c>
      <c r="L437">
        <v>8</v>
      </c>
      <c r="M437" s="1">
        <v>45470</v>
      </c>
    </row>
    <row r="438" spans="1:13" x14ac:dyDescent="0.35">
      <c r="A438" t="s">
        <v>790</v>
      </c>
      <c r="B438" t="s">
        <v>328</v>
      </c>
      <c r="C438" t="s">
        <v>184</v>
      </c>
      <c r="D438">
        <v>25</v>
      </c>
      <c r="E438">
        <v>25</v>
      </c>
      <c r="F438">
        <v>0</v>
      </c>
      <c r="G438" t="s">
        <v>14</v>
      </c>
      <c r="H438" t="s">
        <v>99</v>
      </c>
      <c r="I438" t="s">
        <v>15</v>
      </c>
      <c r="J438" t="s">
        <v>26</v>
      </c>
      <c r="L438">
        <v>7</v>
      </c>
      <c r="M438" s="1">
        <v>45298</v>
      </c>
    </row>
    <row r="439" spans="1:13" x14ac:dyDescent="0.35">
      <c r="A439" t="s">
        <v>791</v>
      </c>
      <c r="B439" t="s">
        <v>296</v>
      </c>
      <c r="C439" t="s">
        <v>29</v>
      </c>
      <c r="D439">
        <v>37</v>
      </c>
      <c r="E439">
        <v>37</v>
      </c>
      <c r="F439">
        <v>0</v>
      </c>
      <c r="G439" t="s">
        <v>25</v>
      </c>
      <c r="H439" t="s">
        <v>19</v>
      </c>
      <c r="I439" t="s">
        <v>105</v>
      </c>
      <c r="J439" t="s">
        <v>37</v>
      </c>
      <c r="K439">
        <v>85781</v>
      </c>
      <c r="L439">
        <v>3</v>
      </c>
      <c r="M439" s="1">
        <v>45590</v>
      </c>
    </row>
    <row r="440" spans="1:13" x14ac:dyDescent="0.35">
      <c r="A440" t="s">
        <v>792</v>
      </c>
      <c r="B440" t="s">
        <v>398</v>
      </c>
      <c r="C440" t="s">
        <v>184</v>
      </c>
      <c r="D440">
        <v>43</v>
      </c>
      <c r="E440">
        <v>43</v>
      </c>
      <c r="F440">
        <v>0</v>
      </c>
      <c r="G440" t="s">
        <v>25</v>
      </c>
      <c r="H440" t="s">
        <v>32</v>
      </c>
      <c r="I440" t="s">
        <v>105</v>
      </c>
      <c r="J440" t="s">
        <v>37</v>
      </c>
      <c r="K440">
        <v>48661</v>
      </c>
      <c r="L440">
        <v>3</v>
      </c>
      <c r="M440" s="1">
        <v>45467</v>
      </c>
    </row>
    <row r="441" spans="1:13" x14ac:dyDescent="0.35">
      <c r="A441" t="s">
        <v>793</v>
      </c>
      <c r="B441" t="s">
        <v>296</v>
      </c>
      <c r="C441" t="s">
        <v>45</v>
      </c>
      <c r="D441">
        <v>13</v>
      </c>
      <c r="E441">
        <v>13</v>
      </c>
      <c r="F441">
        <v>0</v>
      </c>
      <c r="G441" t="s">
        <v>25</v>
      </c>
      <c r="H441" t="s">
        <v>99</v>
      </c>
      <c r="I441" t="s">
        <v>15</v>
      </c>
      <c r="J441" t="s">
        <v>26</v>
      </c>
      <c r="L441">
        <v>7</v>
      </c>
      <c r="M441" s="1">
        <v>45497</v>
      </c>
    </row>
    <row r="442" spans="1:13" x14ac:dyDescent="0.35">
      <c r="A442" t="s">
        <v>794</v>
      </c>
      <c r="B442" t="s">
        <v>795</v>
      </c>
      <c r="C442" t="s">
        <v>172</v>
      </c>
      <c r="D442">
        <v>40</v>
      </c>
      <c r="E442">
        <v>40</v>
      </c>
      <c r="F442">
        <v>0</v>
      </c>
      <c r="G442" t="s">
        <v>14</v>
      </c>
      <c r="H442" t="s">
        <v>99</v>
      </c>
      <c r="I442" t="s">
        <v>15</v>
      </c>
      <c r="J442" t="s">
        <v>20</v>
      </c>
      <c r="K442">
        <v>152011</v>
      </c>
      <c r="L442">
        <v>4</v>
      </c>
      <c r="M442" s="1">
        <v>45384</v>
      </c>
    </row>
    <row r="443" spans="1:13" x14ac:dyDescent="0.35">
      <c r="A443" t="s">
        <v>796</v>
      </c>
      <c r="B443" t="s">
        <v>218</v>
      </c>
      <c r="C443" t="s">
        <v>117</v>
      </c>
      <c r="D443">
        <v>46</v>
      </c>
      <c r="E443">
        <v>46</v>
      </c>
      <c r="F443">
        <v>0</v>
      </c>
      <c r="G443" t="s">
        <v>14</v>
      </c>
      <c r="H443" t="s">
        <v>32</v>
      </c>
      <c r="I443" t="s">
        <v>15</v>
      </c>
      <c r="J443" t="s">
        <v>20</v>
      </c>
      <c r="K443">
        <v>79866</v>
      </c>
      <c r="L443">
        <v>4</v>
      </c>
      <c r="M443" s="1">
        <v>45532</v>
      </c>
    </row>
    <row r="444" spans="1:13" x14ac:dyDescent="0.35">
      <c r="A444" t="s">
        <v>797</v>
      </c>
      <c r="B444" t="s">
        <v>798</v>
      </c>
      <c r="C444" t="s">
        <v>45</v>
      </c>
      <c r="D444">
        <v>12</v>
      </c>
      <c r="E444">
        <v>12</v>
      </c>
      <c r="F444">
        <v>0</v>
      </c>
      <c r="G444" t="s">
        <v>14</v>
      </c>
      <c r="H444" t="s">
        <v>99</v>
      </c>
      <c r="I444" t="s">
        <v>88</v>
      </c>
      <c r="J444" t="s">
        <v>26</v>
      </c>
      <c r="L444">
        <v>6</v>
      </c>
      <c r="M444" s="1">
        <v>45475</v>
      </c>
    </row>
    <row r="445" spans="1:13" x14ac:dyDescent="0.35">
      <c r="A445" t="s">
        <v>799</v>
      </c>
      <c r="B445" t="s">
        <v>263</v>
      </c>
      <c r="C445" t="s">
        <v>154</v>
      </c>
      <c r="D445">
        <v>27</v>
      </c>
      <c r="E445">
        <v>27</v>
      </c>
      <c r="F445">
        <v>0</v>
      </c>
      <c r="G445" t="s">
        <v>14</v>
      </c>
      <c r="H445" t="s">
        <v>19</v>
      </c>
      <c r="I445" t="s">
        <v>105</v>
      </c>
      <c r="J445" t="s">
        <v>40</v>
      </c>
      <c r="L445">
        <v>1</v>
      </c>
      <c r="M445" s="1">
        <v>45591</v>
      </c>
    </row>
    <row r="446" spans="1:13" x14ac:dyDescent="0.35">
      <c r="A446" t="s">
        <v>800</v>
      </c>
      <c r="B446" t="s">
        <v>801</v>
      </c>
      <c r="C446" t="s">
        <v>172</v>
      </c>
      <c r="D446">
        <v>16</v>
      </c>
      <c r="E446">
        <v>16</v>
      </c>
      <c r="F446">
        <v>0</v>
      </c>
      <c r="G446" t="s">
        <v>14</v>
      </c>
      <c r="H446" t="s">
        <v>58</v>
      </c>
      <c r="I446" t="s">
        <v>15</v>
      </c>
      <c r="J446" t="s">
        <v>40</v>
      </c>
      <c r="L446">
        <v>6</v>
      </c>
      <c r="M446" s="1">
        <v>45439</v>
      </c>
    </row>
    <row r="447" spans="1:13" x14ac:dyDescent="0.35">
      <c r="A447" t="s">
        <v>802</v>
      </c>
      <c r="B447" t="s">
        <v>692</v>
      </c>
      <c r="C447" t="s">
        <v>130</v>
      </c>
      <c r="D447">
        <v>32</v>
      </c>
      <c r="E447">
        <v>32</v>
      </c>
      <c r="F447">
        <v>0</v>
      </c>
      <c r="G447" t="s">
        <v>25</v>
      </c>
      <c r="H447" t="s">
        <v>58</v>
      </c>
      <c r="I447" t="s">
        <v>105</v>
      </c>
      <c r="J447" t="s">
        <v>20</v>
      </c>
      <c r="K447">
        <v>30000</v>
      </c>
      <c r="L447">
        <v>9</v>
      </c>
      <c r="M447" s="1">
        <v>45428</v>
      </c>
    </row>
    <row r="448" spans="1:13" x14ac:dyDescent="0.35">
      <c r="A448" t="s">
        <v>2168</v>
      </c>
      <c r="B448" t="s">
        <v>803</v>
      </c>
      <c r="C448" t="s">
        <v>154</v>
      </c>
      <c r="D448">
        <v>34</v>
      </c>
      <c r="E448">
        <v>34</v>
      </c>
      <c r="F448">
        <v>0</v>
      </c>
      <c r="G448" t="s">
        <v>25</v>
      </c>
      <c r="H448" t="s">
        <v>32</v>
      </c>
      <c r="I448" t="s">
        <v>88</v>
      </c>
      <c r="J448" t="s">
        <v>40</v>
      </c>
      <c r="L448">
        <v>4</v>
      </c>
      <c r="M448" s="1">
        <v>45539</v>
      </c>
    </row>
    <row r="449" spans="1:13" x14ac:dyDescent="0.35">
      <c r="A449" t="s">
        <v>804</v>
      </c>
      <c r="B449" t="s">
        <v>625</v>
      </c>
      <c r="C449" t="s">
        <v>119</v>
      </c>
      <c r="D449">
        <v>43</v>
      </c>
      <c r="E449">
        <v>43</v>
      </c>
      <c r="F449">
        <v>0</v>
      </c>
      <c r="G449" t="s">
        <v>14</v>
      </c>
      <c r="H449" t="s">
        <v>58</v>
      </c>
      <c r="I449" t="s">
        <v>88</v>
      </c>
      <c r="J449" t="s">
        <v>16</v>
      </c>
      <c r="L449">
        <v>7</v>
      </c>
      <c r="M449" s="1">
        <v>45350</v>
      </c>
    </row>
    <row r="450" spans="1:13" x14ac:dyDescent="0.35">
      <c r="A450" t="s">
        <v>805</v>
      </c>
      <c r="B450" t="s">
        <v>223</v>
      </c>
      <c r="C450" t="s">
        <v>130</v>
      </c>
      <c r="D450">
        <v>20</v>
      </c>
      <c r="E450">
        <v>20</v>
      </c>
      <c r="F450">
        <v>0</v>
      </c>
      <c r="G450" t="s">
        <v>14</v>
      </c>
      <c r="H450" t="s">
        <v>58</v>
      </c>
      <c r="I450" t="s">
        <v>15</v>
      </c>
      <c r="J450" t="s">
        <v>40</v>
      </c>
      <c r="L450">
        <v>1</v>
      </c>
      <c r="M450" s="1">
        <v>45446</v>
      </c>
    </row>
    <row r="451" spans="1:13" x14ac:dyDescent="0.35">
      <c r="A451" t="s">
        <v>806</v>
      </c>
      <c r="B451" t="s">
        <v>807</v>
      </c>
      <c r="C451" t="s">
        <v>172</v>
      </c>
      <c r="D451">
        <v>33</v>
      </c>
      <c r="E451">
        <v>33</v>
      </c>
      <c r="F451">
        <v>0</v>
      </c>
      <c r="G451" t="s">
        <v>25</v>
      </c>
      <c r="H451" t="s">
        <v>58</v>
      </c>
      <c r="I451" t="s">
        <v>15</v>
      </c>
      <c r="J451" t="s">
        <v>26</v>
      </c>
      <c r="L451">
        <v>3</v>
      </c>
      <c r="M451" s="1">
        <v>45419</v>
      </c>
    </row>
    <row r="452" spans="1:13" x14ac:dyDescent="0.35">
      <c r="A452" t="s">
        <v>808</v>
      </c>
      <c r="B452" t="s">
        <v>809</v>
      </c>
      <c r="C452" t="s">
        <v>119</v>
      </c>
      <c r="D452">
        <v>36</v>
      </c>
      <c r="E452">
        <v>36</v>
      </c>
      <c r="F452">
        <v>0</v>
      </c>
      <c r="G452" t="s">
        <v>25</v>
      </c>
      <c r="H452" t="s">
        <v>58</v>
      </c>
      <c r="I452" t="s">
        <v>105</v>
      </c>
      <c r="J452" t="s">
        <v>37</v>
      </c>
      <c r="K452">
        <v>32955</v>
      </c>
      <c r="L452">
        <v>7</v>
      </c>
      <c r="M452" s="1">
        <v>45418</v>
      </c>
    </row>
    <row r="453" spans="1:13" x14ac:dyDescent="0.35">
      <c r="A453" t="s">
        <v>810</v>
      </c>
      <c r="B453" t="s">
        <v>811</v>
      </c>
      <c r="C453" t="s">
        <v>117</v>
      </c>
      <c r="D453">
        <v>33</v>
      </c>
      <c r="E453">
        <v>33</v>
      </c>
      <c r="F453">
        <v>0</v>
      </c>
      <c r="G453" t="s">
        <v>14</v>
      </c>
      <c r="H453" t="s">
        <v>32</v>
      </c>
      <c r="I453" t="s">
        <v>2154</v>
      </c>
      <c r="J453" t="s">
        <v>40</v>
      </c>
      <c r="L453">
        <v>1</v>
      </c>
      <c r="M453" s="1">
        <v>45494</v>
      </c>
    </row>
    <row r="454" spans="1:13" x14ac:dyDescent="0.35">
      <c r="A454" t="s">
        <v>812</v>
      </c>
      <c r="B454" t="s">
        <v>813</v>
      </c>
      <c r="C454" t="s">
        <v>154</v>
      </c>
      <c r="D454">
        <v>18</v>
      </c>
      <c r="E454">
        <v>18</v>
      </c>
      <c r="F454">
        <v>0</v>
      </c>
      <c r="G454" t="s">
        <v>14</v>
      </c>
      <c r="H454" t="s">
        <v>99</v>
      </c>
      <c r="I454" t="s">
        <v>15</v>
      </c>
      <c r="J454" t="s">
        <v>16</v>
      </c>
      <c r="L454">
        <v>7</v>
      </c>
      <c r="M454" s="1">
        <v>45489</v>
      </c>
    </row>
    <row r="455" spans="1:13" x14ac:dyDescent="0.35">
      <c r="A455" t="s">
        <v>814</v>
      </c>
      <c r="B455" t="s">
        <v>815</v>
      </c>
      <c r="C455" t="s">
        <v>184</v>
      </c>
      <c r="D455">
        <v>48</v>
      </c>
      <c r="E455">
        <v>48</v>
      </c>
      <c r="F455">
        <v>0</v>
      </c>
      <c r="G455" t="s">
        <v>25</v>
      </c>
      <c r="H455" t="s">
        <v>99</v>
      </c>
      <c r="I455" t="s">
        <v>15</v>
      </c>
      <c r="J455" t="s">
        <v>16</v>
      </c>
      <c r="L455">
        <v>8</v>
      </c>
      <c r="M455" s="1">
        <v>45580</v>
      </c>
    </row>
    <row r="456" spans="1:13" x14ac:dyDescent="0.35">
      <c r="A456" t="s">
        <v>816</v>
      </c>
      <c r="B456" t="s">
        <v>817</v>
      </c>
      <c r="C456" t="s">
        <v>29</v>
      </c>
      <c r="D456">
        <v>40</v>
      </c>
      <c r="E456">
        <v>40</v>
      </c>
      <c r="F456">
        <v>0</v>
      </c>
      <c r="G456" t="s">
        <v>25</v>
      </c>
      <c r="H456" t="s">
        <v>58</v>
      </c>
      <c r="I456" t="s">
        <v>105</v>
      </c>
      <c r="J456" t="s">
        <v>20</v>
      </c>
      <c r="K456">
        <v>72087</v>
      </c>
      <c r="L456">
        <v>7</v>
      </c>
      <c r="M456" s="1">
        <v>45547</v>
      </c>
    </row>
    <row r="457" spans="1:13" x14ac:dyDescent="0.35">
      <c r="A457" t="s">
        <v>818</v>
      </c>
      <c r="B457" t="s">
        <v>145</v>
      </c>
      <c r="C457" t="s">
        <v>13</v>
      </c>
      <c r="D457">
        <v>12</v>
      </c>
      <c r="E457">
        <v>12</v>
      </c>
      <c r="F457">
        <v>0</v>
      </c>
      <c r="G457" t="s">
        <v>25</v>
      </c>
      <c r="H457" t="s">
        <v>99</v>
      </c>
      <c r="I457" t="s">
        <v>105</v>
      </c>
      <c r="J457" t="s">
        <v>26</v>
      </c>
      <c r="L457">
        <v>8</v>
      </c>
      <c r="M457" s="1">
        <v>45477</v>
      </c>
    </row>
    <row r="458" spans="1:13" x14ac:dyDescent="0.35">
      <c r="A458" t="s">
        <v>819</v>
      </c>
      <c r="B458" t="s">
        <v>811</v>
      </c>
      <c r="C458" t="s">
        <v>119</v>
      </c>
      <c r="D458">
        <v>37</v>
      </c>
      <c r="E458">
        <v>37</v>
      </c>
      <c r="F458">
        <v>0</v>
      </c>
      <c r="G458" t="s">
        <v>14</v>
      </c>
      <c r="H458" t="s">
        <v>32</v>
      </c>
      <c r="I458" t="s">
        <v>2153</v>
      </c>
      <c r="J458" t="s">
        <v>37</v>
      </c>
      <c r="K458">
        <v>58103</v>
      </c>
      <c r="L458">
        <v>2</v>
      </c>
      <c r="M458" s="1">
        <v>45536</v>
      </c>
    </row>
    <row r="459" spans="1:13" x14ac:dyDescent="0.35">
      <c r="A459" t="s">
        <v>820</v>
      </c>
      <c r="B459" t="s">
        <v>631</v>
      </c>
      <c r="C459" t="s">
        <v>184</v>
      </c>
      <c r="D459">
        <v>16</v>
      </c>
      <c r="E459">
        <v>16</v>
      </c>
      <c r="F459">
        <v>0</v>
      </c>
      <c r="G459" t="s">
        <v>14</v>
      </c>
      <c r="H459" t="s">
        <v>58</v>
      </c>
      <c r="I459" t="s">
        <v>105</v>
      </c>
      <c r="J459" t="s">
        <v>20</v>
      </c>
      <c r="K459">
        <v>60759</v>
      </c>
      <c r="L459">
        <v>5</v>
      </c>
      <c r="M459" s="1">
        <v>45560</v>
      </c>
    </row>
    <row r="460" spans="1:13" x14ac:dyDescent="0.35">
      <c r="A460" t="s">
        <v>821</v>
      </c>
      <c r="B460" t="s">
        <v>822</v>
      </c>
      <c r="C460" t="s">
        <v>172</v>
      </c>
      <c r="D460">
        <v>1</v>
      </c>
      <c r="E460">
        <v>1</v>
      </c>
      <c r="F460">
        <v>0</v>
      </c>
      <c r="G460" t="s">
        <v>14</v>
      </c>
      <c r="H460" t="s">
        <v>99</v>
      </c>
      <c r="I460" t="s">
        <v>88</v>
      </c>
      <c r="J460" t="s">
        <v>26</v>
      </c>
      <c r="L460">
        <v>3</v>
      </c>
      <c r="M460" s="1">
        <v>45326</v>
      </c>
    </row>
    <row r="461" spans="1:13" x14ac:dyDescent="0.35">
      <c r="A461" t="s">
        <v>823</v>
      </c>
      <c r="B461" t="s">
        <v>824</v>
      </c>
      <c r="C461" t="s">
        <v>119</v>
      </c>
      <c r="D461">
        <v>41</v>
      </c>
      <c r="E461">
        <v>41</v>
      </c>
      <c r="F461">
        <v>0</v>
      </c>
      <c r="G461" t="s">
        <v>25</v>
      </c>
      <c r="H461" t="s">
        <v>32</v>
      </c>
      <c r="I461" t="s">
        <v>105</v>
      </c>
      <c r="J461" t="s">
        <v>20</v>
      </c>
      <c r="K461">
        <v>494666</v>
      </c>
      <c r="L461">
        <v>5</v>
      </c>
      <c r="M461" s="1">
        <v>45294</v>
      </c>
    </row>
    <row r="462" spans="1:13" x14ac:dyDescent="0.35">
      <c r="A462" t="s">
        <v>825</v>
      </c>
      <c r="B462" t="s">
        <v>614</v>
      </c>
      <c r="C462" t="s">
        <v>154</v>
      </c>
      <c r="D462">
        <v>11</v>
      </c>
      <c r="E462">
        <v>11</v>
      </c>
      <c r="F462">
        <v>0</v>
      </c>
      <c r="G462" t="s">
        <v>25</v>
      </c>
      <c r="H462" t="s">
        <v>99</v>
      </c>
      <c r="I462" t="s">
        <v>2154</v>
      </c>
      <c r="J462" t="s">
        <v>26</v>
      </c>
      <c r="L462">
        <v>2</v>
      </c>
      <c r="M462" s="1">
        <v>45335</v>
      </c>
    </row>
    <row r="463" spans="1:13" x14ac:dyDescent="0.35">
      <c r="A463" t="s">
        <v>826</v>
      </c>
      <c r="B463" t="s">
        <v>827</v>
      </c>
      <c r="C463" t="s">
        <v>119</v>
      </c>
      <c r="D463">
        <v>28</v>
      </c>
      <c r="E463">
        <v>28</v>
      </c>
      <c r="F463">
        <v>0</v>
      </c>
      <c r="G463" t="s">
        <v>14</v>
      </c>
      <c r="H463" t="s">
        <v>58</v>
      </c>
      <c r="I463" t="s">
        <v>105</v>
      </c>
      <c r="J463" t="s">
        <v>20</v>
      </c>
      <c r="K463">
        <v>48452</v>
      </c>
      <c r="L463">
        <v>1</v>
      </c>
      <c r="M463" s="1">
        <v>45592</v>
      </c>
    </row>
    <row r="464" spans="1:13" x14ac:dyDescent="0.35">
      <c r="A464" t="s">
        <v>828</v>
      </c>
      <c r="B464" t="s">
        <v>829</v>
      </c>
      <c r="C464" t="s">
        <v>119</v>
      </c>
      <c r="D464">
        <v>39</v>
      </c>
      <c r="E464">
        <v>39</v>
      </c>
      <c r="F464">
        <v>0</v>
      </c>
      <c r="G464" t="s">
        <v>14</v>
      </c>
      <c r="H464" t="s">
        <v>32</v>
      </c>
      <c r="I464" t="s">
        <v>15</v>
      </c>
      <c r="J464" t="s">
        <v>40</v>
      </c>
      <c r="L464">
        <v>7</v>
      </c>
      <c r="M464" s="1">
        <v>45499</v>
      </c>
    </row>
    <row r="465" spans="1:13" x14ac:dyDescent="0.35">
      <c r="A465" t="s">
        <v>830</v>
      </c>
      <c r="B465" t="s">
        <v>296</v>
      </c>
      <c r="C465" t="s">
        <v>117</v>
      </c>
      <c r="D465">
        <v>26</v>
      </c>
      <c r="E465">
        <v>26</v>
      </c>
      <c r="F465">
        <v>0</v>
      </c>
      <c r="G465" t="s">
        <v>25</v>
      </c>
      <c r="H465" t="s">
        <v>58</v>
      </c>
      <c r="I465" t="s">
        <v>15</v>
      </c>
      <c r="J465" t="s">
        <v>16</v>
      </c>
      <c r="L465">
        <v>9</v>
      </c>
      <c r="M465" s="1">
        <v>45387</v>
      </c>
    </row>
    <row r="466" spans="1:13" x14ac:dyDescent="0.35">
      <c r="A466" t="s">
        <v>831</v>
      </c>
      <c r="B466" t="s">
        <v>832</v>
      </c>
      <c r="C466" t="s">
        <v>130</v>
      </c>
      <c r="D466">
        <v>58</v>
      </c>
      <c r="E466">
        <v>58</v>
      </c>
      <c r="F466">
        <v>0</v>
      </c>
      <c r="G466" t="s">
        <v>14</v>
      </c>
      <c r="H466" t="s">
        <v>19</v>
      </c>
      <c r="I466" t="s">
        <v>105</v>
      </c>
      <c r="J466" t="s">
        <v>37</v>
      </c>
      <c r="K466">
        <v>89849</v>
      </c>
      <c r="L466">
        <v>9</v>
      </c>
      <c r="M466" s="1">
        <v>45472</v>
      </c>
    </row>
    <row r="467" spans="1:13" x14ac:dyDescent="0.35">
      <c r="A467" t="s">
        <v>833</v>
      </c>
      <c r="B467" t="s">
        <v>834</v>
      </c>
      <c r="C467" t="s">
        <v>69</v>
      </c>
      <c r="D467">
        <v>36</v>
      </c>
      <c r="E467">
        <v>36</v>
      </c>
      <c r="F467">
        <v>0</v>
      </c>
      <c r="G467" t="s">
        <v>25</v>
      </c>
      <c r="H467" t="s">
        <v>19</v>
      </c>
      <c r="I467" t="s">
        <v>88</v>
      </c>
      <c r="J467" t="s">
        <v>40</v>
      </c>
      <c r="L467">
        <v>7</v>
      </c>
      <c r="M467" s="1">
        <v>45457</v>
      </c>
    </row>
    <row r="468" spans="1:13" x14ac:dyDescent="0.35">
      <c r="A468" t="s">
        <v>835</v>
      </c>
      <c r="B468" t="s">
        <v>96</v>
      </c>
      <c r="C468" t="s">
        <v>154</v>
      </c>
      <c r="D468">
        <v>13</v>
      </c>
      <c r="E468">
        <v>13</v>
      </c>
      <c r="F468">
        <v>0</v>
      </c>
      <c r="G468" t="s">
        <v>14</v>
      </c>
      <c r="H468" t="s">
        <v>99</v>
      </c>
      <c r="I468" t="s">
        <v>2154</v>
      </c>
      <c r="J468" t="s">
        <v>26</v>
      </c>
      <c r="L468">
        <v>3</v>
      </c>
      <c r="M468" s="1">
        <v>45536</v>
      </c>
    </row>
    <row r="469" spans="1:13" x14ac:dyDescent="0.35">
      <c r="A469" t="s">
        <v>836</v>
      </c>
      <c r="B469" t="s">
        <v>837</v>
      </c>
      <c r="C469" t="s">
        <v>154</v>
      </c>
      <c r="D469">
        <v>26</v>
      </c>
      <c r="E469">
        <v>26</v>
      </c>
      <c r="F469">
        <v>0</v>
      </c>
      <c r="G469" t="s">
        <v>14</v>
      </c>
      <c r="H469" t="s">
        <v>32</v>
      </c>
      <c r="I469" t="s">
        <v>2153</v>
      </c>
      <c r="J469" t="s">
        <v>26</v>
      </c>
      <c r="L469">
        <v>6</v>
      </c>
      <c r="M469" s="1">
        <v>45369</v>
      </c>
    </row>
    <row r="470" spans="1:13" x14ac:dyDescent="0.35">
      <c r="A470" t="s">
        <v>838</v>
      </c>
      <c r="B470" t="s">
        <v>764</v>
      </c>
      <c r="C470" t="s">
        <v>117</v>
      </c>
      <c r="D470">
        <v>8</v>
      </c>
      <c r="E470">
        <v>8</v>
      </c>
      <c r="F470">
        <v>0</v>
      </c>
      <c r="G470" t="s">
        <v>14</v>
      </c>
      <c r="H470" t="s">
        <v>99</v>
      </c>
      <c r="I470" t="s">
        <v>105</v>
      </c>
      <c r="J470" t="s">
        <v>26</v>
      </c>
      <c r="L470">
        <v>6</v>
      </c>
      <c r="M470" s="1">
        <v>45465</v>
      </c>
    </row>
    <row r="471" spans="1:13" x14ac:dyDescent="0.35">
      <c r="A471" t="s">
        <v>839</v>
      </c>
      <c r="B471" t="s">
        <v>840</v>
      </c>
      <c r="C471" t="s">
        <v>172</v>
      </c>
      <c r="D471">
        <v>34</v>
      </c>
      <c r="E471">
        <v>34</v>
      </c>
      <c r="F471">
        <v>0</v>
      </c>
      <c r="G471" t="s">
        <v>25</v>
      </c>
      <c r="H471" t="s">
        <v>99</v>
      </c>
      <c r="I471" t="s">
        <v>105</v>
      </c>
      <c r="J471" t="s">
        <v>26</v>
      </c>
      <c r="L471">
        <v>9</v>
      </c>
      <c r="M471" s="1">
        <v>45296</v>
      </c>
    </row>
    <row r="472" spans="1:13" x14ac:dyDescent="0.35">
      <c r="A472" t="s">
        <v>841</v>
      </c>
      <c r="B472" t="s">
        <v>66</v>
      </c>
      <c r="C472" t="s">
        <v>13</v>
      </c>
      <c r="D472">
        <v>25</v>
      </c>
      <c r="E472">
        <v>25</v>
      </c>
      <c r="F472">
        <v>0</v>
      </c>
      <c r="G472" t="s">
        <v>25</v>
      </c>
      <c r="H472" t="s">
        <v>32</v>
      </c>
      <c r="I472" t="s">
        <v>105</v>
      </c>
      <c r="J472" t="s">
        <v>40</v>
      </c>
      <c r="L472">
        <v>2</v>
      </c>
      <c r="M472" s="1">
        <v>45571</v>
      </c>
    </row>
    <row r="473" spans="1:13" x14ac:dyDescent="0.35">
      <c r="A473" t="s">
        <v>842</v>
      </c>
      <c r="B473" t="s">
        <v>843</v>
      </c>
      <c r="C473" t="s">
        <v>130</v>
      </c>
      <c r="D473">
        <v>18</v>
      </c>
      <c r="E473">
        <v>18</v>
      </c>
      <c r="F473">
        <v>0</v>
      </c>
      <c r="G473" t="s">
        <v>25</v>
      </c>
      <c r="H473" t="s">
        <v>58</v>
      </c>
      <c r="I473" t="s">
        <v>105</v>
      </c>
      <c r="J473" t="s">
        <v>37</v>
      </c>
      <c r="K473">
        <v>30000</v>
      </c>
      <c r="L473">
        <v>2</v>
      </c>
      <c r="M473" s="1">
        <v>45559</v>
      </c>
    </row>
    <row r="474" spans="1:13" x14ac:dyDescent="0.35">
      <c r="A474" t="s">
        <v>844</v>
      </c>
      <c r="B474" t="s">
        <v>845</v>
      </c>
      <c r="C474" t="s">
        <v>45</v>
      </c>
      <c r="D474">
        <v>40</v>
      </c>
      <c r="E474">
        <v>40</v>
      </c>
      <c r="F474">
        <v>0</v>
      </c>
      <c r="G474" t="s">
        <v>14</v>
      </c>
      <c r="H474" t="s">
        <v>32</v>
      </c>
      <c r="I474" t="s">
        <v>15</v>
      </c>
      <c r="J474" t="s">
        <v>16</v>
      </c>
      <c r="L474">
        <v>9</v>
      </c>
      <c r="M474" s="1">
        <v>45444</v>
      </c>
    </row>
    <row r="475" spans="1:13" x14ac:dyDescent="0.35">
      <c r="A475" t="s">
        <v>846</v>
      </c>
      <c r="B475" t="s">
        <v>847</v>
      </c>
      <c r="C475" t="s">
        <v>154</v>
      </c>
      <c r="D475">
        <v>25</v>
      </c>
      <c r="E475">
        <v>25</v>
      </c>
      <c r="F475">
        <v>0</v>
      </c>
      <c r="G475" t="s">
        <v>25</v>
      </c>
      <c r="H475" t="s">
        <v>32</v>
      </c>
      <c r="I475" t="s">
        <v>15</v>
      </c>
      <c r="J475" t="s">
        <v>37</v>
      </c>
      <c r="K475">
        <v>52041</v>
      </c>
      <c r="L475">
        <v>6</v>
      </c>
      <c r="M475" s="1">
        <v>45366</v>
      </c>
    </row>
    <row r="476" spans="1:13" x14ac:dyDescent="0.35">
      <c r="A476" t="s">
        <v>848</v>
      </c>
      <c r="B476" t="s">
        <v>263</v>
      </c>
      <c r="C476" t="s">
        <v>29</v>
      </c>
      <c r="D476">
        <v>24</v>
      </c>
      <c r="E476">
        <v>24</v>
      </c>
      <c r="F476">
        <v>0</v>
      </c>
      <c r="G476" t="s">
        <v>14</v>
      </c>
      <c r="H476" t="s">
        <v>32</v>
      </c>
      <c r="I476" t="s">
        <v>88</v>
      </c>
      <c r="J476" t="s">
        <v>20</v>
      </c>
      <c r="K476">
        <v>43266</v>
      </c>
      <c r="L476">
        <v>4</v>
      </c>
      <c r="M476" s="1">
        <v>45317</v>
      </c>
    </row>
    <row r="477" spans="1:13" x14ac:dyDescent="0.35">
      <c r="A477" t="s">
        <v>849</v>
      </c>
      <c r="B477" t="s">
        <v>302</v>
      </c>
      <c r="C477" t="s">
        <v>130</v>
      </c>
      <c r="D477">
        <v>29</v>
      </c>
      <c r="E477">
        <v>29</v>
      </c>
      <c r="F477">
        <v>0</v>
      </c>
      <c r="G477" t="s">
        <v>25</v>
      </c>
      <c r="H477" t="s">
        <v>19</v>
      </c>
      <c r="I477" t="s">
        <v>105</v>
      </c>
      <c r="J477" t="s">
        <v>20</v>
      </c>
      <c r="K477">
        <v>59799</v>
      </c>
      <c r="L477">
        <v>1</v>
      </c>
      <c r="M477" s="1">
        <v>45585</v>
      </c>
    </row>
    <row r="478" spans="1:13" x14ac:dyDescent="0.35">
      <c r="A478" t="s">
        <v>850</v>
      </c>
      <c r="B478" t="s">
        <v>851</v>
      </c>
      <c r="C478" t="s">
        <v>45</v>
      </c>
      <c r="D478">
        <v>25</v>
      </c>
      <c r="E478">
        <v>25</v>
      </c>
      <c r="F478">
        <v>0</v>
      </c>
      <c r="G478" t="s">
        <v>14</v>
      </c>
      <c r="H478" t="s">
        <v>58</v>
      </c>
      <c r="I478" t="s">
        <v>2154</v>
      </c>
      <c r="J478" t="s">
        <v>16</v>
      </c>
      <c r="L478">
        <v>7</v>
      </c>
      <c r="M478" s="1">
        <v>45508</v>
      </c>
    </row>
    <row r="479" spans="1:13" x14ac:dyDescent="0.35">
      <c r="A479" t="s">
        <v>852</v>
      </c>
      <c r="B479" t="s">
        <v>198</v>
      </c>
      <c r="C479" t="s">
        <v>29</v>
      </c>
      <c r="D479">
        <v>18</v>
      </c>
      <c r="E479">
        <v>18</v>
      </c>
      <c r="F479">
        <v>0</v>
      </c>
      <c r="G479" t="s">
        <v>25</v>
      </c>
      <c r="H479" t="s">
        <v>32</v>
      </c>
      <c r="I479" t="s">
        <v>105</v>
      </c>
      <c r="J479" t="s">
        <v>37</v>
      </c>
      <c r="K479">
        <v>30925</v>
      </c>
      <c r="L479">
        <v>2</v>
      </c>
      <c r="M479" s="1">
        <v>45562</v>
      </c>
    </row>
    <row r="480" spans="1:13" x14ac:dyDescent="0.35">
      <c r="A480" t="s">
        <v>853</v>
      </c>
      <c r="B480" t="s">
        <v>449</v>
      </c>
      <c r="C480" t="s">
        <v>130</v>
      </c>
      <c r="D480">
        <v>5</v>
      </c>
      <c r="E480">
        <v>5</v>
      </c>
      <c r="F480">
        <v>0</v>
      </c>
      <c r="G480" t="s">
        <v>14</v>
      </c>
      <c r="H480" t="s">
        <v>99</v>
      </c>
      <c r="I480" t="s">
        <v>15</v>
      </c>
      <c r="J480" t="s">
        <v>26</v>
      </c>
      <c r="L480">
        <v>1</v>
      </c>
      <c r="M480" s="1">
        <v>45364</v>
      </c>
    </row>
    <row r="481" spans="1:13" x14ac:dyDescent="0.35">
      <c r="A481" t="s">
        <v>854</v>
      </c>
      <c r="B481" t="s">
        <v>90</v>
      </c>
      <c r="C481" t="s">
        <v>69</v>
      </c>
      <c r="D481">
        <v>15</v>
      </c>
      <c r="E481">
        <v>15</v>
      </c>
      <c r="F481">
        <v>0</v>
      </c>
      <c r="G481" t="s">
        <v>25</v>
      </c>
      <c r="H481" t="s">
        <v>32</v>
      </c>
      <c r="I481" t="s">
        <v>2154</v>
      </c>
      <c r="J481" t="s">
        <v>20</v>
      </c>
      <c r="K481">
        <v>33153</v>
      </c>
      <c r="L481">
        <v>4</v>
      </c>
      <c r="M481" s="1">
        <v>45475</v>
      </c>
    </row>
    <row r="482" spans="1:13" x14ac:dyDescent="0.35">
      <c r="A482" t="s">
        <v>855</v>
      </c>
      <c r="B482" t="s">
        <v>210</v>
      </c>
      <c r="C482" t="s">
        <v>69</v>
      </c>
      <c r="D482">
        <v>1</v>
      </c>
      <c r="E482">
        <v>1</v>
      </c>
      <c r="F482">
        <v>0</v>
      </c>
      <c r="G482" t="s">
        <v>14</v>
      </c>
      <c r="H482" t="s">
        <v>99</v>
      </c>
      <c r="I482" t="s">
        <v>15</v>
      </c>
      <c r="J482" t="s">
        <v>26</v>
      </c>
      <c r="L482">
        <v>9</v>
      </c>
      <c r="M482" s="1">
        <v>45476</v>
      </c>
    </row>
    <row r="483" spans="1:13" x14ac:dyDescent="0.35">
      <c r="A483" t="s">
        <v>856</v>
      </c>
      <c r="B483" t="s">
        <v>857</v>
      </c>
      <c r="C483" t="s">
        <v>130</v>
      </c>
      <c r="D483">
        <v>14</v>
      </c>
      <c r="E483">
        <v>14</v>
      </c>
      <c r="F483">
        <v>0</v>
      </c>
      <c r="G483" t="s">
        <v>25</v>
      </c>
      <c r="H483" t="s">
        <v>99</v>
      </c>
      <c r="I483" t="s">
        <v>88</v>
      </c>
      <c r="J483" t="s">
        <v>26</v>
      </c>
      <c r="L483">
        <v>6</v>
      </c>
      <c r="M483" s="1">
        <v>45580</v>
      </c>
    </row>
    <row r="484" spans="1:13" x14ac:dyDescent="0.35">
      <c r="A484" t="s">
        <v>858</v>
      </c>
      <c r="B484" t="s">
        <v>859</v>
      </c>
      <c r="C484" t="s">
        <v>117</v>
      </c>
      <c r="D484">
        <v>32</v>
      </c>
      <c r="E484">
        <v>32</v>
      </c>
      <c r="F484">
        <v>0</v>
      </c>
      <c r="G484" t="s">
        <v>25</v>
      </c>
      <c r="H484" t="s">
        <v>19</v>
      </c>
      <c r="I484" t="s">
        <v>88</v>
      </c>
      <c r="J484" t="s">
        <v>37</v>
      </c>
      <c r="K484">
        <v>95834</v>
      </c>
      <c r="L484">
        <v>9</v>
      </c>
      <c r="M484" s="1">
        <v>45492</v>
      </c>
    </row>
    <row r="485" spans="1:13" x14ac:dyDescent="0.35">
      <c r="A485" t="s">
        <v>860</v>
      </c>
      <c r="B485" t="s">
        <v>861</v>
      </c>
      <c r="C485" t="s">
        <v>184</v>
      </c>
      <c r="D485">
        <v>41</v>
      </c>
      <c r="E485">
        <v>41</v>
      </c>
      <c r="F485">
        <v>0</v>
      </c>
      <c r="G485" t="s">
        <v>25</v>
      </c>
      <c r="H485" t="s">
        <v>58</v>
      </c>
      <c r="I485" t="s">
        <v>2153</v>
      </c>
      <c r="J485" t="s">
        <v>37</v>
      </c>
      <c r="K485">
        <v>37079</v>
      </c>
      <c r="L485">
        <v>7</v>
      </c>
      <c r="M485" s="1">
        <v>45362</v>
      </c>
    </row>
    <row r="486" spans="1:13" x14ac:dyDescent="0.35">
      <c r="A486" t="s">
        <v>862</v>
      </c>
      <c r="B486" t="s">
        <v>863</v>
      </c>
      <c r="C486" t="s">
        <v>130</v>
      </c>
      <c r="D486">
        <v>22</v>
      </c>
      <c r="E486">
        <v>22</v>
      </c>
      <c r="F486">
        <v>0</v>
      </c>
      <c r="G486" t="s">
        <v>25</v>
      </c>
      <c r="H486" t="s">
        <v>19</v>
      </c>
      <c r="I486" t="s">
        <v>88</v>
      </c>
      <c r="J486" t="s">
        <v>40</v>
      </c>
      <c r="L486">
        <v>1</v>
      </c>
      <c r="M486" s="1">
        <v>45426</v>
      </c>
    </row>
    <row r="487" spans="1:13" x14ac:dyDescent="0.35">
      <c r="A487" t="s">
        <v>864</v>
      </c>
      <c r="B487" t="s">
        <v>865</v>
      </c>
      <c r="C487" t="s">
        <v>45</v>
      </c>
      <c r="D487">
        <v>39</v>
      </c>
      <c r="E487">
        <v>39</v>
      </c>
      <c r="F487">
        <v>0</v>
      </c>
      <c r="G487" t="s">
        <v>14</v>
      </c>
      <c r="H487" t="s">
        <v>58</v>
      </c>
      <c r="I487" t="s">
        <v>105</v>
      </c>
      <c r="J487" t="s">
        <v>37</v>
      </c>
      <c r="K487">
        <v>55007</v>
      </c>
      <c r="L487">
        <v>1</v>
      </c>
      <c r="M487" s="1">
        <v>45375</v>
      </c>
    </row>
    <row r="488" spans="1:13" x14ac:dyDescent="0.35">
      <c r="A488" t="s">
        <v>866</v>
      </c>
      <c r="B488" t="s">
        <v>867</v>
      </c>
      <c r="C488" t="s">
        <v>117</v>
      </c>
      <c r="D488">
        <v>1</v>
      </c>
      <c r="E488">
        <v>1</v>
      </c>
      <c r="F488">
        <v>0</v>
      </c>
      <c r="G488" t="s">
        <v>25</v>
      </c>
      <c r="H488" t="s">
        <v>99</v>
      </c>
      <c r="I488" t="s">
        <v>15</v>
      </c>
      <c r="J488" t="s">
        <v>26</v>
      </c>
      <c r="L488">
        <v>5</v>
      </c>
      <c r="M488" s="1">
        <v>45571</v>
      </c>
    </row>
    <row r="489" spans="1:13" x14ac:dyDescent="0.35">
      <c r="A489" t="s">
        <v>868</v>
      </c>
      <c r="B489" t="s">
        <v>396</v>
      </c>
      <c r="C489" t="s">
        <v>13</v>
      </c>
      <c r="D489">
        <v>42</v>
      </c>
      <c r="E489">
        <v>42</v>
      </c>
      <c r="F489">
        <v>0</v>
      </c>
      <c r="G489" t="s">
        <v>25</v>
      </c>
      <c r="H489" t="s">
        <v>99</v>
      </c>
      <c r="I489" t="s">
        <v>88</v>
      </c>
      <c r="J489" t="s">
        <v>40</v>
      </c>
      <c r="L489">
        <v>8</v>
      </c>
      <c r="M489" s="1">
        <v>45464</v>
      </c>
    </row>
    <row r="490" spans="1:13" x14ac:dyDescent="0.35">
      <c r="A490" t="s">
        <v>869</v>
      </c>
      <c r="B490" t="s">
        <v>870</v>
      </c>
      <c r="C490" t="s">
        <v>29</v>
      </c>
      <c r="D490">
        <v>44</v>
      </c>
      <c r="E490">
        <v>44</v>
      </c>
      <c r="F490">
        <v>0</v>
      </c>
      <c r="G490" t="s">
        <v>14</v>
      </c>
      <c r="H490" t="s">
        <v>19</v>
      </c>
      <c r="I490" t="s">
        <v>105</v>
      </c>
      <c r="J490" t="s">
        <v>40</v>
      </c>
      <c r="L490">
        <v>3</v>
      </c>
      <c r="M490" s="1">
        <v>45293</v>
      </c>
    </row>
    <row r="491" spans="1:13" x14ac:dyDescent="0.35">
      <c r="A491" t="s">
        <v>871</v>
      </c>
      <c r="B491" t="s">
        <v>872</v>
      </c>
      <c r="C491" t="s">
        <v>29</v>
      </c>
      <c r="D491">
        <v>37</v>
      </c>
      <c r="E491">
        <v>37</v>
      </c>
      <c r="F491">
        <v>0</v>
      </c>
      <c r="G491" t="s">
        <v>14</v>
      </c>
      <c r="H491" t="s">
        <v>32</v>
      </c>
      <c r="I491" t="s">
        <v>2154</v>
      </c>
      <c r="J491" t="s">
        <v>26</v>
      </c>
      <c r="L491">
        <v>3</v>
      </c>
      <c r="M491" s="1">
        <v>45445</v>
      </c>
    </row>
    <row r="492" spans="1:13" x14ac:dyDescent="0.35">
      <c r="A492" t="s">
        <v>873</v>
      </c>
      <c r="B492" t="s">
        <v>136</v>
      </c>
      <c r="C492" t="s">
        <v>184</v>
      </c>
      <c r="D492">
        <v>46</v>
      </c>
      <c r="E492">
        <v>46</v>
      </c>
      <c r="F492">
        <v>0</v>
      </c>
      <c r="G492" t="s">
        <v>14</v>
      </c>
      <c r="H492" t="s">
        <v>99</v>
      </c>
      <c r="I492" t="s">
        <v>2154</v>
      </c>
      <c r="J492" t="s">
        <v>16</v>
      </c>
      <c r="L492">
        <v>3</v>
      </c>
      <c r="M492" s="1">
        <v>45422</v>
      </c>
    </row>
    <row r="493" spans="1:13" x14ac:dyDescent="0.35">
      <c r="A493" t="s">
        <v>874</v>
      </c>
      <c r="B493" t="s">
        <v>623</v>
      </c>
      <c r="C493" t="s">
        <v>154</v>
      </c>
      <c r="D493">
        <v>10</v>
      </c>
      <c r="E493">
        <v>10</v>
      </c>
      <c r="F493">
        <v>0</v>
      </c>
      <c r="G493" t="s">
        <v>25</v>
      </c>
      <c r="H493" t="s">
        <v>99</v>
      </c>
      <c r="I493" t="s">
        <v>105</v>
      </c>
      <c r="J493" t="s">
        <v>26</v>
      </c>
      <c r="L493">
        <v>2</v>
      </c>
      <c r="M493" s="1">
        <v>45419</v>
      </c>
    </row>
    <row r="494" spans="1:13" x14ac:dyDescent="0.35">
      <c r="A494" t="s">
        <v>875</v>
      </c>
      <c r="B494" t="s">
        <v>876</v>
      </c>
      <c r="C494" t="s">
        <v>184</v>
      </c>
      <c r="D494">
        <v>31</v>
      </c>
      <c r="E494">
        <v>31</v>
      </c>
      <c r="F494">
        <v>0</v>
      </c>
      <c r="G494" t="s">
        <v>14</v>
      </c>
      <c r="H494" t="s">
        <v>58</v>
      </c>
      <c r="I494" t="s">
        <v>15</v>
      </c>
      <c r="J494" t="s">
        <v>26</v>
      </c>
      <c r="L494">
        <v>4</v>
      </c>
      <c r="M494" s="1">
        <v>45539</v>
      </c>
    </row>
    <row r="495" spans="1:13" x14ac:dyDescent="0.35">
      <c r="A495" t="s">
        <v>877</v>
      </c>
      <c r="B495" t="s">
        <v>878</v>
      </c>
      <c r="C495" t="s">
        <v>130</v>
      </c>
      <c r="D495">
        <v>44</v>
      </c>
      <c r="E495">
        <v>44</v>
      </c>
      <c r="F495">
        <v>0</v>
      </c>
      <c r="G495" t="s">
        <v>14</v>
      </c>
      <c r="H495" t="s">
        <v>99</v>
      </c>
      <c r="I495" t="s">
        <v>15</v>
      </c>
      <c r="J495" t="s">
        <v>20</v>
      </c>
      <c r="K495">
        <v>31627</v>
      </c>
      <c r="L495">
        <v>8</v>
      </c>
      <c r="M495" s="1">
        <v>45540</v>
      </c>
    </row>
    <row r="496" spans="1:13" x14ac:dyDescent="0.35">
      <c r="A496" t="s">
        <v>879</v>
      </c>
      <c r="B496" t="s">
        <v>178</v>
      </c>
      <c r="C496" t="s">
        <v>130</v>
      </c>
      <c r="D496">
        <v>31</v>
      </c>
      <c r="E496">
        <v>31</v>
      </c>
      <c r="F496">
        <v>0</v>
      </c>
      <c r="G496" t="s">
        <v>14</v>
      </c>
      <c r="H496" t="s">
        <v>32</v>
      </c>
      <c r="I496" t="s">
        <v>88</v>
      </c>
      <c r="J496" t="s">
        <v>37</v>
      </c>
      <c r="K496">
        <v>48464</v>
      </c>
      <c r="L496">
        <v>9</v>
      </c>
      <c r="M496" s="1">
        <v>45442</v>
      </c>
    </row>
    <row r="497" spans="1:13" x14ac:dyDescent="0.35">
      <c r="A497" t="s">
        <v>880</v>
      </c>
      <c r="B497" t="s">
        <v>881</v>
      </c>
      <c r="C497" t="s">
        <v>117</v>
      </c>
      <c r="D497">
        <v>20</v>
      </c>
      <c r="E497">
        <v>20</v>
      </c>
      <c r="F497">
        <v>0</v>
      </c>
      <c r="G497" t="s">
        <v>25</v>
      </c>
      <c r="H497" t="s">
        <v>99</v>
      </c>
      <c r="I497" t="s">
        <v>88</v>
      </c>
      <c r="J497" t="s">
        <v>37</v>
      </c>
      <c r="K497">
        <v>113740</v>
      </c>
      <c r="L497">
        <v>8</v>
      </c>
      <c r="M497" s="1">
        <v>45359</v>
      </c>
    </row>
    <row r="498" spans="1:13" x14ac:dyDescent="0.35">
      <c r="A498" t="s">
        <v>882</v>
      </c>
      <c r="B498" t="s">
        <v>471</v>
      </c>
      <c r="C498" t="s">
        <v>184</v>
      </c>
      <c r="D498">
        <v>37</v>
      </c>
      <c r="E498">
        <v>37</v>
      </c>
      <c r="F498">
        <v>0</v>
      </c>
      <c r="G498" t="s">
        <v>25</v>
      </c>
      <c r="H498" t="s">
        <v>99</v>
      </c>
      <c r="I498" t="s">
        <v>88</v>
      </c>
      <c r="J498" t="s">
        <v>37</v>
      </c>
      <c r="K498">
        <v>86845</v>
      </c>
      <c r="L498">
        <v>8</v>
      </c>
      <c r="M498" s="1">
        <v>45435</v>
      </c>
    </row>
    <row r="499" spans="1:13" x14ac:dyDescent="0.35">
      <c r="A499" t="s">
        <v>883</v>
      </c>
      <c r="B499" t="s">
        <v>884</v>
      </c>
      <c r="C499" t="s">
        <v>184</v>
      </c>
      <c r="D499">
        <v>4</v>
      </c>
      <c r="E499">
        <v>4</v>
      </c>
      <c r="F499">
        <v>0</v>
      </c>
      <c r="G499" t="s">
        <v>25</v>
      </c>
      <c r="H499" t="s">
        <v>99</v>
      </c>
      <c r="I499" t="s">
        <v>15</v>
      </c>
      <c r="J499" t="s">
        <v>26</v>
      </c>
      <c r="L499">
        <v>5</v>
      </c>
      <c r="M499" s="1">
        <v>45347</v>
      </c>
    </row>
    <row r="500" spans="1:13" x14ac:dyDescent="0.35">
      <c r="A500" t="s">
        <v>885</v>
      </c>
      <c r="B500" t="s">
        <v>886</v>
      </c>
      <c r="C500" t="s">
        <v>130</v>
      </c>
      <c r="D500">
        <v>18</v>
      </c>
      <c r="E500">
        <v>18</v>
      </c>
      <c r="F500">
        <v>0</v>
      </c>
      <c r="G500" t="s">
        <v>14</v>
      </c>
      <c r="H500" t="s">
        <v>99</v>
      </c>
      <c r="I500" t="s">
        <v>2153</v>
      </c>
      <c r="J500" t="s">
        <v>26</v>
      </c>
      <c r="L500">
        <v>2</v>
      </c>
      <c r="M500" s="1">
        <v>45453</v>
      </c>
    </row>
    <row r="501" spans="1:13" x14ac:dyDescent="0.35">
      <c r="A501" t="s">
        <v>887</v>
      </c>
      <c r="B501" t="s">
        <v>888</v>
      </c>
      <c r="C501" t="s">
        <v>69</v>
      </c>
      <c r="D501">
        <v>38</v>
      </c>
      <c r="E501">
        <v>38</v>
      </c>
      <c r="F501">
        <v>0</v>
      </c>
      <c r="G501" t="s">
        <v>14</v>
      </c>
      <c r="H501" t="s">
        <v>19</v>
      </c>
      <c r="I501" t="s">
        <v>105</v>
      </c>
      <c r="J501" t="s">
        <v>40</v>
      </c>
      <c r="L501">
        <v>3</v>
      </c>
      <c r="M501" s="1">
        <v>45383</v>
      </c>
    </row>
    <row r="502" spans="1:13" x14ac:dyDescent="0.35">
      <c r="A502" t="s">
        <v>889</v>
      </c>
      <c r="B502" t="s">
        <v>890</v>
      </c>
      <c r="C502" t="s">
        <v>117</v>
      </c>
      <c r="D502">
        <v>57</v>
      </c>
      <c r="E502">
        <v>57</v>
      </c>
      <c r="F502">
        <v>0</v>
      </c>
      <c r="G502" t="s">
        <v>25</v>
      </c>
      <c r="H502" t="s">
        <v>99</v>
      </c>
      <c r="I502" t="s">
        <v>15</v>
      </c>
      <c r="J502" t="s">
        <v>26</v>
      </c>
      <c r="L502">
        <v>1</v>
      </c>
      <c r="M502" s="1">
        <v>45443</v>
      </c>
    </row>
    <row r="503" spans="1:13" x14ac:dyDescent="0.35">
      <c r="A503" t="s">
        <v>891</v>
      </c>
      <c r="B503" t="s">
        <v>402</v>
      </c>
      <c r="C503" t="s">
        <v>172</v>
      </c>
      <c r="D503">
        <v>43</v>
      </c>
      <c r="E503">
        <v>43</v>
      </c>
      <c r="F503">
        <v>0</v>
      </c>
      <c r="G503" t="s">
        <v>25</v>
      </c>
      <c r="H503" t="s">
        <v>99</v>
      </c>
      <c r="I503" t="s">
        <v>105</v>
      </c>
      <c r="J503" t="s">
        <v>26</v>
      </c>
      <c r="L503">
        <v>9</v>
      </c>
      <c r="M503" s="1">
        <v>45549</v>
      </c>
    </row>
    <row r="504" spans="1:13" x14ac:dyDescent="0.35">
      <c r="A504" t="s">
        <v>892</v>
      </c>
      <c r="B504" t="s">
        <v>2169</v>
      </c>
      <c r="C504" t="s">
        <v>13</v>
      </c>
      <c r="D504">
        <v>53</v>
      </c>
      <c r="E504">
        <v>53</v>
      </c>
      <c r="F504">
        <v>0</v>
      </c>
      <c r="G504" t="s">
        <v>25</v>
      </c>
      <c r="H504" t="s">
        <v>58</v>
      </c>
      <c r="I504" t="s">
        <v>105</v>
      </c>
      <c r="J504" t="s">
        <v>37</v>
      </c>
      <c r="K504">
        <v>45668</v>
      </c>
      <c r="L504">
        <v>5</v>
      </c>
      <c r="M504" s="1">
        <v>45586</v>
      </c>
    </row>
    <row r="505" spans="1:13" x14ac:dyDescent="0.35">
      <c r="A505" t="s">
        <v>893</v>
      </c>
      <c r="B505" t="s">
        <v>894</v>
      </c>
      <c r="C505" t="s">
        <v>45</v>
      </c>
      <c r="D505">
        <v>12</v>
      </c>
      <c r="E505">
        <v>12</v>
      </c>
      <c r="F505">
        <v>0</v>
      </c>
      <c r="G505" t="s">
        <v>25</v>
      </c>
      <c r="H505" t="s">
        <v>99</v>
      </c>
      <c r="I505" t="s">
        <v>2153</v>
      </c>
      <c r="J505" t="s">
        <v>26</v>
      </c>
      <c r="L505">
        <v>7</v>
      </c>
      <c r="M505" s="1">
        <v>45320</v>
      </c>
    </row>
    <row r="506" spans="1:13" x14ac:dyDescent="0.35">
      <c r="A506" t="s">
        <v>895</v>
      </c>
      <c r="B506" t="s">
        <v>766</v>
      </c>
      <c r="C506" t="s">
        <v>69</v>
      </c>
      <c r="D506">
        <v>42</v>
      </c>
      <c r="E506">
        <v>42</v>
      </c>
      <c r="F506">
        <v>0</v>
      </c>
      <c r="G506" t="s">
        <v>14</v>
      </c>
      <c r="H506" t="s">
        <v>32</v>
      </c>
      <c r="I506" t="s">
        <v>15</v>
      </c>
      <c r="J506" t="s">
        <v>40</v>
      </c>
      <c r="L506">
        <v>3</v>
      </c>
      <c r="M506" s="1">
        <v>45498</v>
      </c>
    </row>
    <row r="507" spans="1:13" x14ac:dyDescent="0.35">
      <c r="A507" t="s">
        <v>896</v>
      </c>
      <c r="B507" t="s">
        <v>473</v>
      </c>
      <c r="C507" t="s">
        <v>184</v>
      </c>
      <c r="D507">
        <v>35</v>
      </c>
      <c r="F507">
        <v>1</v>
      </c>
      <c r="G507" t="s">
        <v>14</v>
      </c>
      <c r="H507" t="s">
        <v>32</v>
      </c>
      <c r="I507" t="s">
        <v>88</v>
      </c>
      <c r="J507" t="s">
        <v>16</v>
      </c>
      <c r="L507">
        <v>1</v>
      </c>
      <c r="M507" s="1">
        <v>45435</v>
      </c>
    </row>
    <row r="508" spans="1:13" x14ac:dyDescent="0.35">
      <c r="A508" t="s">
        <v>897</v>
      </c>
      <c r="B508" t="s">
        <v>772</v>
      </c>
      <c r="C508" t="s">
        <v>154</v>
      </c>
      <c r="D508">
        <v>43</v>
      </c>
      <c r="E508">
        <v>43</v>
      </c>
      <c r="F508">
        <v>0</v>
      </c>
      <c r="G508" t="s">
        <v>25</v>
      </c>
      <c r="H508" t="s">
        <v>32</v>
      </c>
      <c r="I508" t="s">
        <v>105</v>
      </c>
      <c r="J508" t="s">
        <v>20</v>
      </c>
      <c r="K508">
        <v>68416</v>
      </c>
      <c r="L508">
        <v>7</v>
      </c>
      <c r="M508" s="1">
        <v>45368</v>
      </c>
    </row>
    <row r="509" spans="1:13" x14ac:dyDescent="0.35">
      <c r="A509" t="s">
        <v>898</v>
      </c>
      <c r="B509" t="s">
        <v>239</v>
      </c>
      <c r="C509" t="s">
        <v>184</v>
      </c>
      <c r="D509">
        <v>59</v>
      </c>
      <c r="E509">
        <v>59</v>
      </c>
      <c r="F509">
        <v>0</v>
      </c>
      <c r="G509" t="s">
        <v>25</v>
      </c>
      <c r="H509" t="s">
        <v>99</v>
      </c>
      <c r="I509" t="s">
        <v>105</v>
      </c>
      <c r="J509" t="s">
        <v>16</v>
      </c>
      <c r="L509">
        <v>1</v>
      </c>
      <c r="M509" s="1">
        <v>45300</v>
      </c>
    </row>
    <row r="510" spans="1:13" x14ac:dyDescent="0.35">
      <c r="A510" t="s">
        <v>899</v>
      </c>
      <c r="B510" t="s">
        <v>900</v>
      </c>
      <c r="C510" t="s">
        <v>154</v>
      </c>
      <c r="D510">
        <v>55</v>
      </c>
      <c r="E510">
        <v>55</v>
      </c>
      <c r="F510">
        <v>0</v>
      </c>
      <c r="G510" t="s">
        <v>25</v>
      </c>
      <c r="H510" t="s">
        <v>99</v>
      </c>
      <c r="I510" t="s">
        <v>15</v>
      </c>
      <c r="J510" t="s">
        <v>40</v>
      </c>
      <c r="L510">
        <v>2</v>
      </c>
      <c r="M510" s="1">
        <v>45436</v>
      </c>
    </row>
    <row r="511" spans="1:13" x14ac:dyDescent="0.35">
      <c r="A511" t="s">
        <v>901</v>
      </c>
      <c r="B511" t="s">
        <v>902</v>
      </c>
      <c r="C511" t="s">
        <v>130</v>
      </c>
      <c r="D511">
        <v>21</v>
      </c>
      <c r="E511">
        <v>21</v>
      </c>
      <c r="F511">
        <v>0</v>
      </c>
      <c r="G511" t="s">
        <v>25</v>
      </c>
      <c r="H511" t="s">
        <v>58</v>
      </c>
      <c r="I511" t="s">
        <v>15</v>
      </c>
      <c r="J511" t="s">
        <v>20</v>
      </c>
      <c r="K511">
        <v>80676</v>
      </c>
      <c r="L511">
        <v>2</v>
      </c>
      <c r="M511" s="1">
        <v>45384</v>
      </c>
    </row>
    <row r="512" spans="1:13" x14ac:dyDescent="0.35">
      <c r="A512" t="s">
        <v>903</v>
      </c>
      <c r="B512" t="s">
        <v>904</v>
      </c>
      <c r="C512" t="s">
        <v>119</v>
      </c>
      <c r="D512">
        <v>24</v>
      </c>
      <c r="E512">
        <v>24</v>
      </c>
      <c r="F512">
        <v>0</v>
      </c>
      <c r="G512" t="s">
        <v>14</v>
      </c>
      <c r="H512" t="s">
        <v>99</v>
      </c>
      <c r="I512" t="s">
        <v>15</v>
      </c>
      <c r="J512" t="s">
        <v>37</v>
      </c>
      <c r="K512">
        <v>30000</v>
      </c>
      <c r="L512">
        <v>7</v>
      </c>
      <c r="M512" s="1">
        <v>45570</v>
      </c>
    </row>
    <row r="513" spans="1:13" x14ac:dyDescent="0.35">
      <c r="A513" t="s">
        <v>905</v>
      </c>
      <c r="B513" t="s">
        <v>906</v>
      </c>
      <c r="C513" t="s">
        <v>184</v>
      </c>
      <c r="D513">
        <v>29</v>
      </c>
      <c r="E513">
        <v>29</v>
      </c>
      <c r="F513">
        <v>0</v>
      </c>
      <c r="G513" t="s">
        <v>25</v>
      </c>
      <c r="H513" t="s">
        <v>58</v>
      </c>
      <c r="I513" t="s">
        <v>15</v>
      </c>
      <c r="J513" t="s">
        <v>16</v>
      </c>
      <c r="L513">
        <v>2</v>
      </c>
      <c r="M513" s="1">
        <v>45507</v>
      </c>
    </row>
    <row r="514" spans="1:13" x14ac:dyDescent="0.35">
      <c r="A514" t="s">
        <v>907</v>
      </c>
      <c r="B514" t="s">
        <v>908</v>
      </c>
      <c r="C514" t="s">
        <v>13</v>
      </c>
      <c r="D514">
        <v>36</v>
      </c>
      <c r="E514">
        <v>36</v>
      </c>
      <c r="F514">
        <v>0</v>
      </c>
      <c r="G514" t="s">
        <v>25</v>
      </c>
      <c r="H514" t="s">
        <v>99</v>
      </c>
      <c r="I514" t="s">
        <v>2153</v>
      </c>
      <c r="J514" t="s">
        <v>40</v>
      </c>
      <c r="L514">
        <v>8</v>
      </c>
      <c r="M514" s="1">
        <v>45397</v>
      </c>
    </row>
    <row r="515" spans="1:13" x14ac:dyDescent="0.35">
      <c r="A515" t="s">
        <v>909</v>
      </c>
      <c r="B515" t="s">
        <v>639</v>
      </c>
      <c r="C515" t="s">
        <v>45</v>
      </c>
      <c r="D515">
        <v>40</v>
      </c>
      <c r="E515">
        <v>40</v>
      </c>
      <c r="F515">
        <v>0</v>
      </c>
      <c r="G515" t="s">
        <v>14</v>
      </c>
      <c r="H515" t="s">
        <v>58</v>
      </c>
      <c r="I515" t="s">
        <v>15</v>
      </c>
      <c r="J515" t="s">
        <v>20</v>
      </c>
      <c r="K515">
        <v>67084</v>
      </c>
      <c r="L515">
        <v>4</v>
      </c>
      <c r="M515" s="1">
        <v>45597</v>
      </c>
    </row>
    <row r="516" spans="1:13" x14ac:dyDescent="0.35">
      <c r="A516" t="s">
        <v>910</v>
      </c>
      <c r="B516" t="s">
        <v>662</v>
      </c>
      <c r="C516" t="s">
        <v>130</v>
      </c>
      <c r="D516">
        <v>15</v>
      </c>
      <c r="E516">
        <v>15</v>
      </c>
      <c r="F516">
        <v>0</v>
      </c>
      <c r="G516" t="s">
        <v>25</v>
      </c>
      <c r="H516" t="s">
        <v>32</v>
      </c>
      <c r="I516" t="s">
        <v>2153</v>
      </c>
      <c r="J516" t="s">
        <v>26</v>
      </c>
      <c r="L516">
        <v>2</v>
      </c>
      <c r="M516" s="1">
        <v>45467</v>
      </c>
    </row>
    <row r="517" spans="1:13" x14ac:dyDescent="0.35">
      <c r="A517" t="s">
        <v>2170</v>
      </c>
      <c r="B517" t="s">
        <v>1436</v>
      </c>
      <c r="C517" t="s">
        <v>130</v>
      </c>
      <c r="D517">
        <v>28</v>
      </c>
      <c r="E517">
        <v>28</v>
      </c>
      <c r="F517">
        <v>0</v>
      </c>
      <c r="G517" t="s">
        <v>14</v>
      </c>
      <c r="H517" t="s">
        <v>19</v>
      </c>
      <c r="I517" t="s">
        <v>88</v>
      </c>
      <c r="J517" t="s">
        <v>16</v>
      </c>
      <c r="L517">
        <v>3</v>
      </c>
      <c r="M517" s="1">
        <v>45370</v>
      </c>
    </row>
    <row r="518" spans="1:13" x14ac:dyDescent="0.35">
      <c r="A518" t="s">
        <v>911</v>
      </c>
      <c r="B518" t="s">
        <v>912</v>
      </c>
      <c r="C518" t="s">
        <v>154</v>
      </c>
      <c r="D518">
        <v>58</v>
      </c>
      <c r="E518">
        <v>58</v>
      </c>
      <c r="F518">
        <v>0</v>
      </c>
      <c r="G518" t="s">
        <v>14</v>
      </c>
      <c r="H518" t="s">
        <v>58</v>
      </c>
      <c r="I518" t="s">
        <v>15</v>
      </c>
      <c r="J518" t="s">
        <v>37</v>
      </c>
      <c r="K518">
        <v>39047</v>
      </c>
      <c r="L518">
        <v>6</v>
      </c>
      <c r="M518" s="1">
        <v>45347</v>
      </c>
    </row>
    <row r="519" spans="1:13" x14ac:dyDescent="0.35">
      <c r="A519" t="s">
        <v>913</v>
      </c>
      <c r="B519" t="s">
        <v>914</v>
      </c>
      <c r="C519" t="s">
        <v>184</v>
      </c>
      <c r="D519">
        <v>59</v>
      </c>
      <c r="E519">
        <v>59</v>
      </c>
      <c r="F519">
        <v>0</v>
      </c>
      <c r="G519" t="s">
        <v>14</v>
      </c>
      <c r="H519" t="s">
        <v>99</v>
      </c>
      <c r="I519" t="s">
        <v>105</v>
      </c>
      <c r="J519" t="s">
        <v>37</v>
      </c>
      <c r="K519">
        <v>63032</v>
      </c>
      <c r="L519">
        <v>1</v>
      </c>
      <c r="M519" s="1">
        <v>45402</v>
      </c>
    </row>
    <row r="520" spans="1:13" x14ac:dyDescent="0.35">
      <c r="A520" t="s">
        <v>915</v>
      </c>
      <c r="B520" t="s">
        <v>916</v>
      </c>
      <c r="C520" t="s">
        <v>184</v>
      </c>
      <c r="D520">
        <v>27</v>
      </c>
      <c r="E520">
        <v>27</v>
      </c>
      <c r="F520">
        <v>0</v>
      </c>
      <c r="G520" t="s">
        <v>14</v>
      </c>
      <c r="H520" t="s">
        <v>99</v>
      </c>
      <c r="I520" t="s">
        <v>15</v>
      </c>
      <c r="J520" t="s">
        <v>16</v>
      </c>
      <c r="L520">
        <v>6</v>
      </c>
      <c r="M520" s="1">
        <v>45343</v>
      </c>
    </row>
    <row r="521" spans="1:13" x14ac:dyDescent="0.35">
      <c r="A521" t="s">
        <v>917</v>
      </c>
      <c r="B521" t="s">
        <v>918</v>
      </c>
      <c r="C521" t="s">
        <v>13</v>
      </c>
      <c r="D521">
        <v>35</v>
      </c>
      <c r="E521">
        <v>35</v>
      </c>
      <c r="F521">
        <v>0</v>
      </c>
      <c r="G521" t="s">
        <v>14</v>
      </c>
      <c r="H521" t="s">
        <v>58</v>
      </c>
      <c r="I521" t="s">
        <v>105</v>
      </c>
      <c r="J521" t="s">
        <v>20</v>
      </c>
      <c r="K521">
        <v>99466</v>
      </c>
      <c r="L521">
        <v>8</v>
      </c>
      <c r="M521" s="1">
        <v>45399</v>
      </c>
    </row>
    <row r="522" spans="1:13" x14ac:dyDescent="0.35">
      <c r="A522" t="s">
        <v>919</v>
      </c>
      <c r="B522" t="s">
        <v>920</v>
      </c>
      <c r="C522" t="s">
        <v>69</v>
      </c>
      <c r="D522">
        <v>48</v>
      </c>
      <c r="E522">
        <v>48</v>
      </c>
      <c r="F522">
        <v>0</v>
      </c>
      <c r="G522" t="s">
        <v>25</v>
      </c>
      <c r="H522" t="s">
        <v>99</v>
      </c>
      <c r="I522" t="s">
        <v>15</v>
      </c>
      <c r="J522" t="s">
        <v>37</v>
      </c>
      <c r="K522">
        <v>129230</v>
      </c>
      <c r="L522">
        <v>4</v>
      </c>
      <c r="M522" s="1">
        <v>45483</v>
      </c>
    </row>
    <row r="523" spans="1:13" x14ac:dyDescent="0.35">
      <c r="A523" t="s">
        <v>921</v>
      </c>
      <c r="B523" t="s">
        <v>922</v>
      </c>
      <c r="C523" t="s">
        <v>154</v>
      </c>
      <c r="D523">
        <v>41</v>
      </c>
      <c r="E523">
        <v>41</v>
      </c>
      <c r="F523">
        <v>0</v>
      </c>
      <c r="G523" t="s">
        <v>25</v>
      </c>
      <c r="H523" t="s">
        <v>32</v>
      </c>
      <c r="I523" t="s">
        <v>15</v>
      </c>
      <c r="J523" t="s">
        <v>40</v>
      </c>
      <c r="L523">
        <v>8</v>
      </c>
      <c r="M523" s="1">
        <v>45532</v>
      </c>
    </row>
    <row r="524" spans="1:13" x14ac:dyDescent="0.35">
      <c r="A524" t="s">
        <v>923</v>
      </c>
      <c r="B524" t="s">
        <v>924</v>
      </c>
      <c r="C524" t="s">
        <v>29</v>
      </c>
      <c r="D524">
        <v>7</v>
      </c>
      <c r="E524">
        <v>7</v>
      </c>
      <c r="F524">
        <v>0</v>
      </c>
      <c r="G524" t="s">
        <v>14</v>
      </c>
      <c r="H524" t="s">
        <v>99</v>
      </c>
      <c r="I524" t="s">
        <v>15</v>
      </c>
      <c r="J524" t="s">
        <v>26</v>
      </c>
      <c r="L524">
        <v>4</v>
      </c>
      <c r="M524" s="1">
        <v>45410</v>
      </c>
    </row>
    <row r="525" spans="1:13" x14ac:dyDescent="0.35">
      <c r="A525" t="s">
        <v>925</v>
      </c>
      <c r="B525" t="s">
        <v>42</v>
      </c>
      <c r="C525" t="s">
        <v>130</v>
      </c>
      <c r="D525">
        <v>28</v>
      </c>
      <c r="E525">
        <v>28</v>
      </c>
      <c r="F525">
        <v>0</v>
      </c>
      <c r="G525" t="s">
        <v>25</v>
      </c>
      <c r="H525" t="s">
        <v>99</v>
      </c>
      <c r="I525" t="s">
        <v>2153</v>
      </c>
      <c r="J525" t="s">
        <v>16</v>
      </c>
      <c r="L525">
        <v>2</v>
      </c>
      <c r="M525" s="1">
        <v>45377</v>
      </c>
    </row>
    <row r="526" spans="1:13" x14ac:dyDescent="0.35">
      <c r="A526" t="s">
        <v>926</v>
      </c>
      <c r="B526" t="s">
        <v>927</v>
      </c>
      <c r="C526" t="s">
        <v>184</v>
      </c>
      <c r="D526">
        <v>17</v>
      </c>
      <c r="E526">
        <v>17</v>
      </c>
      <c r="F526">
        <v>0</v>
      </c>
      <c r="G526" t="s">
        <v>14</v>
      </c>
      <c r="H526" t="s">
        <v>32</v>
      </c>
      <c r="I526" t="s">
        <v>105</v>
      </c>
      <c r="J526" t="s">
        <v>37</v>
      </c>
      <c r="K526">
        <v>229582</v>
      </c>
      <c r="L526">
        <v>8</v>
      </c>
      <c r="M526" s="1">
        <v>45336</v>
      </c>
    </row>
    <row r="527" spans="1:13" x14ac:dyDescent="0.35">
      <c r="A527" t="s">
        <v>928</v>
      </c>
      <c r="B527" t="s">
        <v>929</v>
      </c>
      <c r="C527" t="s">
        <v>29</v>
      </c>
      <c r="D527">
        <v>43</v>
      </c>
      <c r="E527">
        <v>43</v>
      </c>
      <c r="F527">
        <v>0</v>
      </c>
      <c r="G527" t="s">
        <v>25</v>
      </c>
      <c r="H527" t="s">
        <v>58</v>
      </c>
      <c r="I527" t="s">
        <v>15</v>
      </c>
      <c r="J527" t="s">
        <v>26</v>
      </c>
      <c r="L527">
        <v>7</v>
      </c>
      <c r="M527" s="1">
        <v>45300</v>
      </c>
    </row>
    <row r="528" spans="1:13" x14ac:dyDescent="0.35">
      <c r="A528" t="s">
        <v>930</v>
      </c>
      <c r="B528" t="s">
        <v>393</v>
      </c>
      <c r="C528" t="s">
        <v>130</v>
      </c>
      <c r="D528">
        <v>19</v>
      </c>
      <c r="E528">
        <v>19</v>
      </c>
      <c r="F528">
        <v>0</v>
      </c>
      <c r="G528" t="s">
        <v>14</v>
      </c>
      <c r="H528" t="s">
        <v>58</v>
      </c>
      <c r="I528" t="s">
        <v>88</v>
      </c>
      <c r="J528" t="s">
        <v>20</v>
      </c>
      <c r="K528">
        <v>45457</v>
      </c>
      <c r="L528">
        <v>7</v>
      </c>
      <c r="M528" s="1">
        <v>45561</v>
      </c>
    </row>
    <row r="529" spans="1:13" x14ac:dyDescent="0.35">
      <c r="A529" t="s">
        <v>931</v>
      </c>
      <c r="B529" t="s">
        <v>932</v>
      </c>
      <c r="C529" t="s">
        <v>13</v>
      </c>
      <c r="D529">
        <v>32</v>
      </c>
      <c r="E529">
        <v>32</v>
      </c>
      <c r="F529">
        <v>0</v>
      </c>
      <c r="G529" t="s">
        <v>14</v>
      </c>
      <c r="H529" t="s">
        <v>19</v>
      </c>
      <c r="I529" t="s">
        <v>2154</v>
      </c>
      <c r="J529" t="s">
        <v>16</v>
      </c>
      <c r="L529">
        <v>4</v>
      </c>
      <c r="M529" s="1">
        <v>45401</v>
      </c>
    </row>
    <row r="530" spans="1:13" x14ac:dyDescent="0.35">
      <c r="A530" t="s">
        <v>933</v>
      </c>
      <c r="B530" t="s">
        <v>488</v>
      </c>
      <c r="C530" t="s">
        <v>45</v>
      </c>
      <c r="D530">
        <v>66</v>
      </c>
      <c r="E530">
        <v>66</v>
      </c>
      <c r="F530">
        <v>0</v>
      </c>
      <c r="G530" t="s">
        <v>25</v>
      </c>
      <c r="H530" t="s">
        <v>32</v>
      </c>
      <c r="I530" t="s">
        <v>2153</v>
      </c>
      <c r="J530" t="s">
        <v>40</v>
      </c>
      <c r="L530">
        <v>9</v>
      </c>
      <c r="M530" s="1">
        <v>45466</v>
      </c>
    </row>
    <row r="531" spans="1:13" x14ac:dyDescent="0.35">
      <c r="A531" t="s">
        <v>934</v>
      </c>
      <c r="B531" t="s">
        <v>935</v>
      </c>
      <c r="C531" t="s">
        <v>29</v>
      </c>
      <c r="D531">
        <v>37</v>
      </c>
      <c r="E531">
        <v>37</v>
      </c>
      <c r="F531">
        <v>0</v>
      </c>
      <c r="G531" t="s">
        <v>25</v>
      </c>
      <c r="H531" t="s">
        <v>32</v>
      </c>
      <c r="I531" t="s">
        <v>88</v>
      </c>
      <c r="J531" t="s">
        <v>16</v>
      </c>
      <c r="L531">
        <v>5</v>
      </c>
      <c r="M531" s="1">
        <v>45633</v>
      </c>
    </row>
    <row r="532" spans="1:13" x14ac:dyDescent="0.35">
      <c r="A532" t="s">
        <v>936</v>
      </c>
      <c r="B532" t="s">
        <v>243</v>
      </c>
      <c r="C532" t="s">
        <v>117</v>
      </c>
      <c r="D532">
        <v>33</v>
      </c>
      <c r="E532">
        <v>33</v>
      </c>
      <c r="F532">
        <v>0</v>
      </c>
      <c r="G532" t="s">
        <v>14</v>
      </c>
      <c r="H532" t="s">
        <v>32</v>
      </c>
      <c r="I532" t="s">
        <v>2154</v>
      </c>
      <c r="J532" t="s">
        <v>37</v>
      </c>
      <c r="K532">
        <v>58963</v>
      </c>
      <c r="L532">
        <v>8</v>
      </c>
      <c r="M532" s="1">
        <v>45375</v>
      </c>
    </row>
    <row r="533" spans="1:13" x14ac:dyDescent="0.35">
      <c r="A533" t="s">
        <v>937</v>
      </c>
      <c r="B533" t="s">
        <v>231</v>
      </c>
      <c r="C533" t="s">
        <v>154</v>
      </c>
      <c r="D533">
        <v>12</v>
      </c>
      <c r="E533">
        <v>12</v>
      </c>
      <c r="F533">
        <v>0</v>
      </c>
      <c r="G533" t="s">
        <v>25</v>
      </c>
      <c r="H533" t="s">
        <v>99</v>
      </c>
      <c r="I533" t="s">
        <v>15</v>
      </c>
      <c r="J533" t="s">
        <v>26</v>
      </c>
      <c r="L533">
        <v>5</v>
      </c>
      <c r="M533" s="1">
        <v>45401</v>
      </c>
    </row>
    <row r="534" spans="1:13" x14ac:dyDescent="0.35">
      <c r="A534" t="s">
        <v>938</v>
      </c>
      <c r="B534" t="s">
        <v>939</v>
      </c>
      <c r="C534" t="s">
        <v>13</v>
      </c>
      <c r="D534">
        <v>31</v>
      </c>
      <c r="E534">
        <v>31</v>
      </c>
      <c r="F534">
        <v>0</v>
      </c>
      <c r="G534" t="s">
        <v>14</v>
      </c>
      <c r="H534" t="s">
        <v>19</v>
      </c>
      <c r="I534" t="s">
        <v>88</v>
      </c>
      <c r="J534" t="s">
        <v>20</v>
      </c>
      <c r="K534">
        <v>55851</v>
      </c>
      <c r="L534">
        <v>1</v>
      </c>
      <c r="M534" s="1">
        <v>45320</v>
      </c>
    </row>
    <row r="535" spans="1:13" x14ac:dyDescent="0.35">
      <c r="A535" t="s">
        <v>940</v>
      </c>
      <c r="B535" t="s">
        <v>941</v>
      </c>
      <c r="C535" t="s">
        <v>154</v>
      </c>
      <c r="D535">
        <v>41</v>
      </c>
      <c r="E535">
        <v>41</v>
      </c>
      <c r="F535">
        <v>0</v>
      </c>
      <c r="G535" t="s">
        <v>14</v>
      </c>
      <c r="H535" t="s">
        <v>19</v>
      </c>
      <c r="I535" t="s">
        <v>105</v>
      </c>
      <c r="J535" t="s">
        <v>16</v>
      </c>
      <c r="L535">
        <v>7</v>
      </c>
      <c r="M535" s="1">
        <v>45443</v>
      </c>
    </row>
    <row r="536" spans="1:13" x14ac:dyDescent="0.35">
      <c r="A536" t="s">
        <v>942</v>
      </c>
      <c r="B536" t="s">
        <v>943</v>
      </c>
      <c r="C536" t="s">
        <v>45</v>
      </c>
      <c r="D536">
        <v>43</v>
      </c>
      <c r="E536">
        <v>43</v>
      </c>
      <c r="F536">
        <v>0</v>
      </c>
      <c r="G536" t="s">
        <v>25</v>
      </c>
      <c r="H536" t="s">
        <v>99</v>
      </c>
      <c r="I536" t="s">
        <v>15</v>
      </c>
      <c r="J536" t="s">
        <v>20</v>
      </c>
      <c r="K536">
        <v>34797</v>
      </c>
      <c r="L536">
        <v>5</v>
      </c>
      <c r="M536" s="1">
        <v>45473</v>
      </c>
    </row>
    <row r="537" spans="1:13" x14ac:dyDescent="0.35">
      <c r="A537" t="s">
        <v>944</v>
      </c>
      <c r="B537" t="s">
        <v>507</v>
      </c>
      <c r="C537" t="s">
        <v>184</v>
      </c>
      <c r="D537">
        <v>46</v>
      </c>
      <c r="E537">
        <v>46</v>
      </c>
      <c r="F537">
        <v>0</v>
      </c>
      <c r="G537" t="s">
        <v>14</v>
      </c>
      <c r="H537" t="s">
        <v>58</v>
      </c>
      <c r="I537" t="s">
        <v>88</v>
      </c>
      <c r="J537" t="s">
        <v>40</v>
      </c>
      <c r="L537">
        <v>3</v>
      </c>
      <c r="M537" s="1">
        <v>45376</v>
      </c>
    </row>
    <row r="538" spans="1:13" x14ac:dyDescent="0.35">
      <c r="A538" t="s">
        <v>945</v>
      </c>
      <c r="B538" t="s">
        <v>807</v>
      </c>
      <c r="C538" t="s">
        <v>154</v>
      </c>
      <c r="D538">
        <v>35</v>
      </c>
      <c r="E538">
        <v>35</v>
      </c>
      <c r="F538">
        <v>0</v>
      </c>
      <c r="G538" t="s">
        <v>25</v>
      </c>
      <c r="H538" t="s">
        <v>99</v>
      </c>
      <c r="I538" t="s">
        <v>15</v>
      </c>
      <c r="J538" t="s">
        <v>40</v>
      </c>
      <c r="L538">
        <v>3</v>
      </c>
      <c r="M538" s="1">
        <v>45580</v>
      </c>
    </row>
    <row r="539" spans="1:13" x14ac:dyDescent="0.35">
      <c r="A539" t="s">
        <v>2171</v>
      </c>
      <c r="B539" t="s">
        <v>365</v>
      </c>
      <c r="C539" t="s">
        <v>119</v>
      </c>
      <c r="D539">
        <v>49</v>
      </c>
      <c r="E539">
        <v>49</v>
      </c>
      <c r="F539">
        <v>0</v>
      </c>
      <c r="G539" t="s">
        <v>14</v>
      </c>
      <c r="H539" t="s">
        <v>99</v>
      </c>
      <c r="I539" t="s">
        <v>105</v>
      </c>
      <c r="J539" t="s">
        <v>37</v>
      </c>
      <c r="K539">
        <v>32125</v>
      </c>
      <c r="L539">
        <v>7</v>
      </c>
      <c r="M539" s="1">
        <v>45390</v>
      </c>
    </row>
    <row r="540" spans="1:13" x14ac:dyDescent="0.35">
      <c r="A540" t="s">
        <v>946</v>
      </c>
      <c r="B540" t="s">
        <v>947</v>
      </c>
      <c r="C540" t="s">
        <v>69</v>
      </c>
      <c r="D540">
        <v>18</v>
      </c>
      <c r="E540">
        <v>18</v>
      </c>
      <c r="F540">
        <v>0</v>
      </c>
      <c r="G540" t="s">
        <v>25</v>
      </c>
      <c r="H540" t="s">
        <v>58</v>
      </c>
      <c r="I540" t="s">
        <v>105</v>
      </c>
      <c r="J540" t="s">
        <v>16</v>
      </c>
      <c r="L540">
        <v>9</v>
      </c>
      <c r="M540" s="1">
        <v>45558</v>
      </c>
    </row>
    <row r="541" spans="1:13" x14ac:dyDescent="0.35">
      <c r="A541" t="s">
        <v>948</v>
      </c>
      <c r="B541" t="s">
        <v>461</v>
      </c>
      <c r="C541" t="s">
        <v>45</v>
      </c>
      <c r="D541">
        <v>36</v>
      </c>
      <c r="E541">
        <v>36</v>
      </c>
      <c r="F541">
        <v>0</v>
      </c>
      <c r="G541" t="s">
        <v>14</v>
      </c>
      <c r="H541" t="s">
        <v>32</v>
      </c>
      <c r="I541" t="s">
        <v>15</v>
      </c>
      <c r="J541" t="s">
        <v>40</v>
      </c>
      <c r="L541">
        <v>7</v>
      </c>
      <c r="M541" s="1">
        <v>45334</v>
      </c>
    </row>
    <row r="542" spans="1:13" x14ac:dyDescent="0.35">
      <c r="A542" t="s">
        <v>949</v>
      </c>
      <c r="B542" t="s">
        <v>950</v>
      </c>
      <c r="C542" t="s">
        <v>172</v>
      </c>
      <c r="D542">
        <v>41</v>
      </c>
      <c r="E542">
        <v>41</v>
      </c>
      <c r="F542">
        <v>0</v>
      </c>
      <c r="G542" t="s">
        <v>25</v>
      </c>
      <c r="H542" t="s">
        <v>19</v>
      </c>
      <c r="I542" t="s">
        <v>88</v>
      </c>
      <c r="J542" t="s">
        <v>16</v>
      </c>
      <c r="L542">
        <v>7</v>
      </c>
      <c r="M542" s="1">
        <v>45606</v>
      </c>
    </row>
    <row r="543" spans="1:13" x14ac:dyDescent="0.35">
      <c r="A543" t="s">
        <v>951</v>
      </c>
      <c r="B543" t="s">
        <v>952</v>
      </c>
      <c r="C543" t="s">
        <v>45</v>
      </c>
      <c r="D543">
        <v>37</v>
      </c>
      <c r="E543">
        <v>37</v>
      </c>
      <c r="F543">
        <v>0</v>
      </c>
      <c r="G543" t="s">
        <v>25</v>
      </c>
      <c r="H543" t="s">
        <v>99</v>
      </c>
      <c r="I543" t="s">
        <v>15</v>
      </c>
      <c r="J543" t="s">
        <v>37</v>
      </c>
      <c r="K543">
        <v>60347</v>
      </c>
      <c r="L543">
        <v>3</v>
      </c>
      <c r="M543" s="1">
        <v>45376</v>
      </c>
    </row>
    <row r="544" spans="1:13" x14ac:dyDescent="0.35">
      <c r="A544" t="s">
        <v>953</v>
      </c>
      <c r="B544" t="s">
        <v>954</v>
      </c>
      <c r="C544" t="s">
        <v>184</v>
      </c>
      <c r="D544">
        <v>15</v>
      </c>
      <c r="E544">
        <v>15</v>
      </c>
      <c r="F544">
        <v>0</v>
      </c>
      <c r="G544" t="s">
        <v>25</v>
      </c>
      <c r="H544" t="s">
        <v>19</v>
      </c>
      <c r="I544" t="s">
        <v>105</v>
      </c>
      <c r="J544" t="s">
        <v>40</v>
      </c>
      <c r="L544">
        <v>4</v>
      </c>
      <c r="M544" s="1">
        <v>45456</v>
      </c>
    </row>
    <row r="545" spans="1:13" x14ac:dyDescent="0.35">
      <c r="A545" t="s">
        <v>955</v>
      </c>
      <c r="B545" t="s">
        <v>12</v>
      </c>
      <c r="C545" t="s">
        <v>29</v>
      </c>
      <c r="D545">
        <v>21</v>
      </c>
      <c r="E545">
        <v>21</v>
      </c>
      <c r="F545">
        <v>0</v>
      </c>
      <c r="G545" t="s">
        <v>14</v>
      </c>
      <c r="H545" t="s">
        <v>19</v>
      </c>
      <c r="I545" t="s">
        <v>15</v>
      </c>
      <c r="J545" t="s">
        <v>26</v>
      </c>
      <c r="L545">
        <v>4</v>
      </c>
      <c r="M545" s="1">
        <v>45334</v>
      </c>
    </row>
    <row r="546" spans="1:13" x14ac:dyDescent="0.35">
      <c r="A546" t="s">
        <v>956</v>
      </c>
      <c r="B546" t="s">
        <v>957</v>
      </c>
      <c r="C546" t="s">
        <v>119</v>
      </c>
      <c r="D546">
        <v>39</v>
      </c>
      <c r="E546">
        <v>39</v>
      </c>
      <c r="F546">
        <v>0</v>
      </c>
      <c r="G546" t="s">
        <v>14</v>
      </c>
      <c r="H546" t="s">
        <v>99</v>
      </c>
      <c r="I546" t="s">
        <v>2154</v>
      </c>
      <c r="J546" t="s">
        <v>16</v>
      </c>
      <c r="L546">
        <v>3</v>
      </c>
      <c r="M546" s="1">
        <v>45366</v>
      </c>
    </row>
    <row r="547" spans="1:13" x14ac:dyDescent="0.35">
      <c r="A547" t="s">
        <v>958</v>
      </c>
      <c r="B547" t="s">
        <v>402</v>
      </c>
      <c r="C547" t="s">
        <v>172</v>
      </c>
      <c r="D547">
        <v>22</v>
      </c>
      <c r="E547">
        <v>22</v>
      </c>
      <c r="F547">
        <v>0</v>
      </c>
      <c r="G547" t="s">
        <v>25</v>
      </c>
      <c r="H547" t="s">
        <v>32</v>
      </c>
      <c r="I547" t="s">
        <v>88</v>
      </c>
      <c r="J547" t="s">
        <v>40</v>
      </c>
      <c r="L547">
        <v>8</v>
      </c>
      <c r="M547" s="1">
        <v>45394</v>
      </c>
    </row>
    <row r="548" spans="1:13" x14ac:dyDescent="0.35">
      <c r="A548" t="s">
        <v>959</v>
      </c>
      <c r="B548" t="s">
        <v>960</v>
      </c>
      <c r="C548" t="s">
        <v>154</v>
      </c>
      <c r="D548">
        <v>23</v>
      </c>
      <c r="E548">
        <v>23</v>
      </c>
      <c r="F548">
        <v>0</v>
      </c>
      <c r="G548" t="s">
        <v>14</v>
      </c>
      <c r="H548" t="s">
        <v>19</v>
      </c>
      <c r="I548" t="s">
        <v>2154</v>
      </c>
      <c r="J548" t="s">
        <v>26</v>
      </c>
      <c r="L548">
        <v>3</v>
      </c>
      <c r="M548" s="1">
        <v>45530</v>
      </c>
    </row>
    <row r="549" spans="1:13" x14ac:dyDescent="0.35">
      <c r="A549" t="s">
        <v>961</v>
      </c>
      <c r="B549" t="s">
        <v>962</v>
      </c>
      <c r="C549" t="s">
        <v>184</v>
      </c>
      <c r="D549">
        <v>33</v>
      </c>
      <c r="E549">
        <v>33</v>
      </c>
      <c r="F549">
        <v>0</v>
      </c>
      <c r="G549" t="s">
        <v>25</v>
      </c>
      <c r="H549" t="s">
        <v>32</v>
      </c>
      <c r="I549" t="s">
        <v>88</v>
      </c>
      <c r="J549" t="s">
        <v>20</v>
      </c>
      <c r="K549">
        <v>30000</v>
      </c>
      <c r="L549">
        <v>7</v>
      </c>
      <c r="M549" s="1">
        <v>45585</v>
      </c>
    </row>
    <row r="550" spans="1:13" x14ac:dyDescent="0.35">
      <c r="A550" t="s">
        <v>963</v>
      </c>
      <c r="B550" t="s">
        <v>699</v>
      </c>
      <c r="C550" t="s">
        <v>154</v>
      </c>
      <c r="D550">
        <v>42</v>
      </c>
      <c r="E550">
        <v>42</v>
      </c>
      <c r="F550">
        <v>0</v>
      </c>
      <c r="G550" t="s">
        <v>25</v>
      </c>
      <c r="H550" t="s">
        <v>99</v>
      </c>
      <c r="I550" t="s">
        <v>105</v>
      </c>
      <c r="J550" t="s">
        <v>20</v>
      </c>
      <c r="K550">
        <v>113506</v>
      </c>
      <c r="L550">
        <v>8</v>
      </c>
      <c r="M550" s="1">
        <v>45481</v>
      </c>
    </row>
    <row r="551" spans="1:13" x14ac:dyDescent="0.35">
      <c r="A551" t="s">
        <v>964</v>
      </c>
      <c r="B551" t="s">
        <v>965</v>
      </c>
      <c r="C551" t="s">
        <v>13</v>
      </c>
      <c r="D551">
        <v>39</v>
      </c>
      <c r="E551">
        <v>39</v>
      </c>
      <c r="F551">
        <v>0</v>
      </c>
      <c r="G551" t="s">
        <v>14</v>
      </c>
      <c r="H551" t="s">
        <v>58</v>
      </c>
      <c r="I551" t="s">
        <v>105</v>
      </c>
      <c r="J551" t="s">
        <v>26</v>
      </c>
      <c r="L551">
        <v>8</v>
      </c>
      <c r="M551" s="1">
        <v>45380</v>
      </c>
    </row>
    <row r="552" spans="1:13" x14ac:dyDescent="0.35">
      <c r="A552" t="s">
        <v>2172</v>
      </c>
      <c r="B552" t="s">
        <v>966</v>
      </c>
      <c r="C552" t="s">
        <v>45</v>
      </c>
      <c r="D552">
        <v>53</v>
      </c>
      <c r="E552">
        <v>53</v>
      </c>
      <c r="F552">
        <v>0</v>
      </c>
      <c r="G552" t="s">
        <v>25</v>
      </c>
      <c r="H552" t="s">
        <v>58</v>
      </c>
      <c r="I552" t="s">
        <v>2153</v>
      </c>
      <c r="J552" t="s">
        <v>37</v>
      </c>
      <c r="K552">
        <v>54976</v>
      </c>
      <c r="L552">
        <v>5</v>
      </c>
      <c r="M552" s="1">
        <v>45350</v>
      </c>
    </row>
    <row r="553" spans="1:13" x14ac:dyDescent="0.35">
      <c r="A553" t="s">
        <v>967</v>
      </c>
      <c r="B553" t="s">
        <v>377</v>
      </c>
      <c r="C553" t="s">
        <v>45</v>
      </c>
      <c r="D553">
        <v>54</v>
      </c>
      <c r="E553">
        <v>54</v>
      </c>
      <c r="F553">
        <v>0</v>
      </c>
      <c r="G553" t="s">
        <v>14</v>
      </c>
      <c r="H553" t="s">
        <v>58</v>
      </c>
      <c r="I553" t="s">
        <v>15</v>
      </c>
      <c r="J553" t="s">
        <v>37</v>
      </c>
      <c r="K553">
        <v>72346</v>
      </c>
      <c r="L553">
        <v>4</v>
      </c>
      <c r="M553" s="1">
        <v>45556</v>
      </c>
    </row>
    <row r="554" spans="1:13" x14ac:dyDescent="0.35">
      <c r="A554" t="s">
        <v>968</v>
      </c>
      <c r="B554" t="s">
        <v>160</v>
      </c>
      <c r="C554" t="s">
        <v>13</v>
      </c>
      <c r="D554">
        <v>4</v>
      </c>
      <c r="E554">
        <v>4</v>
      </c>
      <c r="F554">
        <v>0</v>
      </c>
      <c r="G554" t="s">
        <v>25</v>
      </c>
      <c r="H554" t="s">
        <v>99</v>
      </c>
      <c r="I554" t="s">
        <v>105</v>
      </c>
      <c r="J554" t="s">
        <v>26</v>
      </c>
      <c r="L554">
        <v>1</v>
      </c>
      <c r="M554" s="1">
        <v>45308</v>
      </c>
    </row>
    <row r="555" spans="1:13" x14ac:dyDescent="0.35">
      <c r="A555" t="s">
        <v>969</v>
      </c>
      <c r="B555" t="s">
        <v>970</v>
      </c>
      <c r="C555" t="s">
        <v>184</v>
      </c>
      <c r="D555">
        <v>37</v>
      </c>
      <c r="E555">
        <v>37</v>
      </c>
      <c r="F555">
        <v>0</v>
      </c>
      <c r="G555" t="s">
        <v>14</v>
      </c>
      <c r="H555" t="s">
        <v>99</v>
      </c>
      <c r="I555" t="s">
        <v>88</v>
      </c>
      <c r="J555" t="s">
        <v>37</v>
      </c>
      <c r="K555">
        <v>41964</v>
      </c>
      <c r="L555">
        <v>7</v>
      </c>
      <c r="M555" s="1">
        <v>45503</v>
      </c>
    </row>
    <row r="556" spans="1:13" x14ac:dyDescent="0.35">
      <c r="A556" t="s">
        <v>971</v>
      </c>
      <c r="B556" t="s">
        <v>151</v>
      </c>
      <c r="C556" t="s">
        <v>29</v>
      </c>
      <c r="D556">
        <v>43</v>
      </c>
      <c r="E556">
        <v>43</v>
      </c>
      <c r="F556">
        <v>0</v>
      </c>
      <c r="G556" t="s">
        <v>25</v>
      </c>
      <c r="H556" t="s">
        <v>99</v>
      </c>
      <c r="I556" t="s">
        <v>15</v>
      </c>
      <c r="J556" t="s">
        <v>40</v>
      </c>
      <c r="L556">
        <v>7</v>
      </c>
      <c r="M556" s="1">
        <v>45391</v>
      </c>
    </row>
    <row r="557" spans="1:13" x14ac:dyDescent="0.35">
      <c r="A557" t="s">
        <v>972</v>
      </c>
      <c r="B557" t="s">
        <v>667</v>
      </c>
      <c r="C557" t="s">
        <v>45</v>
      </c>
      <c r="D557">
        <v>42</v>
      </c>
      <c r="E557">
        <v>42</v>
      </c>
      <c r="F557">
        <v>0</v>
      </c>
      <c r="G557" t="s">
        <v>25</v>
      </c>
      <c r="H557" t="s">
        <v>58</v>
      </c>
      <c r="I557" t="s">
        <v>105</v>
      </c>
      <c r="J557" t="s">
        <v>40</v>
      </c>
      <c r="L557">
        <v>6</v>
      </c>
      <c r="M557" s="1">
        <v>45509</v>
      </c>
    </row>
    <row r="558" spans="1:13" x14ac:dyDescent="0.35">
      <c r="A558" t="s">
        <v>973</v>
      </c>
      <c r="B558" t="s">
        <v>974</v>
      </c>
      <c r="C558" t="s">
        <v>29</v>
      </c>
      <c r="D558">
        <v>10</v>
      </c>
      <c r="E558">
        <v>10</v>
      </c>
      <c r="F558">
        <v>0</v>
      </c>
      <c r="G558" t="s">
        <v>14</v>
      </c>
      <c r="H558" t="s">
        <v>99</v>
      </c>
      <c r="I558" t="s">
        <v>105</v>
      </c>
      <c r="J558" t="s">
        <v>26</v>
      </c>
      <c r="L558">
        <v>5</v>
      </c>
      <c r="M558" s="1">
        <v>45347</v>
      </c>
    </row>
    <row r="559" spans="1:13" x14ac:dyDescent="0.35">
      <c r="A559" t="s">
        <v>975</v>
      </c>
      <c r="B559" t="s">
        <v>976</v>
      </c>
      <c r="C559" t="s">
        <v>119</v>
      </c>
      <c r="D559">
        <v>49</v>
      </c>
      <c r="E559">
        <v>49</v>
      </c>
      <c r="F559">
        <v>0</v>
      </c>
      <c r="G559" t="s">
        <v>14</v>
      </c>
      <c r="H559" t="s">
        <v>99</v>
      </c>
      <c r="I559" t="s">
        <v>2153</v>
      </c>
      <c r="J559" t="s">
        <v>20</v>
      </c>
      <c r="K559">
        <v>36097</v>
      </c>
      <c r="L559">
        <v>8</v>
      </c>
      <c r="M559" s="1">
        <v>45383</v>
      </c>
    </row>
    <row r="560" spans="1:13" x14ac:dyDescent="0.35">
      <c r="A560" t="s">
        <v>977</v>
      </c>
      <c r="B560" t="s">
        <v>859</v>
      </c>
      <c r="C560" t="s">
        <v>154</v>
      </c>
      <c r="D560">
        <v>38</v>
      </c>
      <c r="E560">
        <v>38</v>
      </c>
      <c r="F560">
        <v>0</v>
      </c>
      <c r="G560" t="s">
        <v>25</v>
      </c>
      <c r="H560" t="s">
        <v>99</v>
      </c>
      <c r="I560" t="s">
        <v>15</v>
      </c>
      <c r="J560" t="s">
        <v>20</v>
      </c>
      <c r="K560">
        <v>83598</v>
      </c>
      <c r="L560">
        <v>9</v>
      </c>
      <c r="M560" s="1">
        <v>45477</v>
      </c>
    </row>
    <row r="561" spans="1:13" x14ac:dyDescent="0.35">
      <c r="A561" t="s">
        <v>978</v>
      </c>
      <c r="B561" t="s">
        <v>18</v>
      </c>
      <c r="C561" t="s">
        <v>130</v>
      </c>
      <c r="D561">
        <v>49</v>
      </c>
      <c r="E561">
        <v>49</v>
      </c>
      <c r="F561">
        <v>0</v>
      </c>
      <c r="G561" t="s">
        <v>14</v>
      </c>
      <c r="H561" t="s">
        <v>58</v>
      </c>
      <c r="I561" t="s">
        <v>2153</v>
      </c>
      <c r="J561" t="s">
        <v>26</v>
      </c>
      <c r="L561">
        <v>3</v>
      </c>
      <c r="M561" s="1">
        <v>45533</v>
      </c>
    </row>
    <row r="562" spans="1:13" x14ac:dyDescent="0.35">
      <c r="A562" t="s">
        <v>979</v>
      </c>
      <c r="B562" t="s">
        <v>255</v>
      </c>
      <c r="C562" t="s">
        <v>29</v>
      </c>
      <c r="D562">
        <v>24</v>
      </c>
      <c r="E562">
        <v>24</v>
      </c>
      <c r="F562">
        <v>0</v>
      </c>
      <c r="G562" t="s">
        <v>14</v>
      </c>
      <c r="H562" t="s">
        <v>32</v>
      </c>
      <c r="I562" t="s">
        <v>15</v>
      </c>
      <c r="J562" t="s">
        <v>16</v>
      </c>
      <c r="L562">
        <v>2</v>
      </c>
      <c r="M562" s="1">
        <v>45300</v>
      </c>
    </row>
    <row r="563" spans="1:13" x14ac:dyDescent="0.35">
      <c r="A563" t="s">
        <v>980</v>
      </c>
      <c r="B563" t="s">
        <v>935</v>
      </c>
      <c r="C563" t="s">
        <v>29</v>
      </c>
      <c r="D563">
        <v>62</v>
      </c>
      <c r="E563">
        <v>62</v>
      </c>
      <c r="F563">
        <v>0</v>
      </c>
      <c r="G563" t="s">
        <v>25</v>
      </c>
      <c r="H563" t="s">
        <v>32</v>
      </c>
      <c r="I563" t="s">
        <v>105</v>
      </c>
      <c r="J563" t="s">
        <v>26</v>
      </c>
      <c r="L563">
        <v>2</v>
      </c>
      <c r="M563" s="1">
        <v>45335</v>
      </c>
    </row>
    <row r="564" spans="1:13" x14ac:dyDescent="0.35">
      <c r="A564" t="s">
        <v>981</v>
      </c>
      <c r="B564" t="s">
        <v>259</v>
      </c>
      <c r="C564" t="s">
        <v>45</v>
      </c>
      <c r="D564">
        <v>32</v>
      </c>
      <c r="E564">
        <v>32</v>
      </c>
      <c r="F564">
        <v>0</v>
      </c>
      <c r="G564" t="s">
        <v>25</v>
      </c>
      <c r="H564" t="s">
        <v>32</v>
      </c>
      <c r="I564" t="s">
        <v>2154</v>
      </c>
      <c r="J564" t="s">
        <v>37</v>
      </c>
      <c r="K564">
        <v>30000</v>
      </c>
      <c r="L564">
        <v>7</v>
      </c>
      <c r="M564" s="1">
        <v>45521</v>
      </c>
    </row>
    <row r="565" spans="1:13" x14ac:dyDescent="0.35">
      <c r="A565" t="s">
        <v>982</v>
      </c>
      <c r="B565" t="s">
        <v>273</v>
      </c>
      <c r="C565" t="s">
        <v>172</v>
      </c>
      <c r="D565">
        <v>23</v>
      </c>
      <c r="E565">
        <v>23</v>
      </c>
      <c r="F565">
        <v>0</v>
      </c>
      <c r="G565" t="s">
        <v>14</v>
      </c>
      <c r="H565" t="s">
        <v>32</v>
      </c>
      <c r="I565" t="s">
        <v>88</v>
      </c>
      <c r="J565" t="s">
        <v>37</v>
      </c>
      <c r="K565">
        <v>138909</v>
      </c>
      <c r="L565">
        <v>8</v>
      </c>
      <c r="M565" s="1">
        <v>45495</v>
      </c>
    </row>
    <row r="566" spans="1:13" x14ac:dyDescent="0.35">
      <c r="A566" t="s">
        <v>983</v>
      </c>
      <c r="B566" t="s">
        <v>329</v>
      </c>
      <c r="C566" t="s">
        <v>130</v>
      </c>
      <c r="D566">
        <v>17</v>
      </c>
      <c r="E566">
        <v>17</v>
      </c>
      <c r="F566">
        <v>0</v>
      </c>
      <c r="G566" t="s">
        <v>14</v>
      </c>
      <c r="H566" t="s">
        <v>19</v>
      </c>
      <c r="I566" t="s">
        <v>15</v>
      </c>
      <c r="J566" t="s">
        <v>26</v>
      </c>
      <c r="L566">
        <v>4</v>
      </c>
      <c r="M566" s="1">
        <v>45345</v>
      </c>
    </row>
    <row r="567" spans="1:13" x14ac:dyDescent="0.35">
      <c r="A567" t="s">
        <v>984</v>
      </c>
      <c r="B567" t="s">
        <v>985</v>
      </c>
      <c r="C567" t="s">
        <v>29</v>
      </c>
      <c r="D567">
        <v>41</v>
      </c>
      <c r="E567">
        <v>41</v>
      </c>
      <c r="F567">
        <v>0</v>
      </c>
      <c r="G567" t="s">
        <v>14</v>
      </c>
      <c r="H567" t="s">
        <v>19</v>
      </c>
      <c r="I567" t="s">
        <v>105</v>
      </c>
      <c r="J567" t="s">
        <v>20</v>
      </c>
      <c r="K567">
        <v>151632</v>
      </c>
      <c r="L567">
        <v>9</v>
      </c>
      <c r="M567" s="1">
        <v>45497</v>
      </c>
    </row>
    <row r="568" spans="1:13" x14ac:dyDescent="0.35">
      <c r="A568" t="s">
        <v>986</v>
      </c>
      <c r="B568" t="s">
        <v>987</v>
      </c>
      <c r="C568" t="s">
        <v>184</v>
      </c>
      <c r="D568">
        <v>12</v>
      </c>
      <c r="E568">
        <v>12</v>
      </c>
      <c r="F568">
        <v>0</v>
      </c>
      <c r="G568" t="s">
        <v>25</v>
      </c>
      <c r="H568" t="s">
        <v>99</v>
      </c>
      <c r="I568" t="s">
        <v>105</v>
      </c>
      <c r="J568" t="s">
        <v>26</v>
      </c>
      <c r="L568">
        <v>6</v>
      </c>
      <c r="M568" s="1">
        <v>45424</v>
      </c>
    </row>
    <row r="569" spans="1:13" x14ac:dyDescent="0.35">
      <c r="A569" t="s">
        <v>988</v>
      </c>
      <c r="B569" t="s">
        <v>989</v>
      </c>
      <c r="C569" t="s">
        <v>154</v>
      </c>
      <c r="D569">
        <v>44</v>
      </c>
      <c r="E569">
        <v>44</v>
      </c>
      <c r="F569">
        <v>0</v>
      </c>
      <c r="G569" t="s">
        <v>14</v>
      </c>
      <c r="H569" t="s">
        <v>32</v>
      </c>
      <c r="I569" t="s">
        <v>88</v>
      </c>
      <c r="J569" t="s">
        <v>16</v>
      </c>
      <c r="L569">
        <v>2</v>
      </c>
      <c r="M569" s="1">
        <v>45474</v>
      </c>
    </row>
    <row r="570" spans="1:13" x14ac:dyDescent="0.35">
      <c r="A570" t="s">
        <v>990</v>
      </c>
      <c r="B570" t="s">
        <v>991</v>
      </c>
      <c r="C570" t="s">
        <v>69</v>
      </c>
      <c r="D570">
        <v>68</v>
      </c>
      <c r="E570">
        <v>68</v>
      </c>
      <c r="F570">
        <v>0</v>
      </c>
      <c r="G570" t="s">
        <v>25</v>
      </c>
      <c r="H570" t="s">
        <v>19</v>
      </c>
      <c r="I570" t="s">
        <v>105</v>
      </c>
      <c r="J570" t="s">
        <v>37</v>
      </c>
      <c r="K570">
        <v>30000</v>
      </c>
      <c r="L570">
        <v>9</v>
      </c>
      <c r="M570" s="1">
        <v>45478</v>
      </c>
    </row>
    <row r="571" spans="1:13" x14ac:dyDescent="0.35">
      <c r="A571" t="s">
        <v>992</v>
      </c>
      <c r="B571" t="s">
        <v>993</v>
      </c>
      <c r="C571" t="s">
        <v>184</v>
      </c>
      <c r="D571">
        <v>13</v>
      </c>
      <c r="E571">
        <v>13</v>
      </c>
      <c r="F571">
        <v>0</v>
      </c>
      <c r="G571" t="s">
        <v>25</v>
      </c>
      <c r="H571" t="s">
        <v>99</v>
      </c>
      <c r="I571" t="s">
        <v>88</v>
      </c>
      <c r="J571" t="s">
        <v>26</v>
      </c>
      <c r="L571">
        <v>6</v>
      </c>
      <c r="M571" s="1">
        <v>45591</v>
      </c>
    </row>
    <row r="572" spans="1:13" x14ac:dyDescent="0.35">
      <c r="A572" t="s">
        <v>994</v>
      </c>
      <c r="B572" t="s">
        <v>995</v>
      </c>
      <c r="C572" t="s">
        <v>172</v>
      </c>
      <c r="D572">
        <v>40</v>
      </c>
      <c r="E572">
        <v>40</v>
      </c>
      <c r="F572">
        <v>0</v>
      </c>
      <c r="G572" t="s">
        <v>14</v>
      </c>
      <c r="H572" t="s">
        <v>99</v>
      </c>
      <c r="I572" t="s">
        <v>105</v>
      </c>
      <c r="J572" t="s">
        <v>16</v>
      </c>
      <c r="L572">
        <v>5</v>
      </c>
      <c r="M572" s="1">
        <v>45586</v>
      </c>
    </row>
    <row r="573" spans="1:13" x14ac:dyDescent="0.35">
      <c r="A573" t="s">
        <v>996</v>
      </c>
      <c r="B573" t="s">
        <v>686</v>
      </c>
      <c r="C573" t="s">
        <v>119</v>
      </c>
      <c r="D573">
        <v>25</v>
      </c>
      <c r="E573">
        <v>25</v>
      </c>
      <c r="F573">
        <v>0</v>
      </c>
      <c r="G573" t="s">
        <v>14</v>
      </c>
      <c r="H573" t="s">
        <v>99</v>
      </c>
      <c r="I573" t="s">
        <v>88</v>
      </c>
      <c r="J573" t="s">
        <v>20</v>
      </c>
      <c r="K573">
        <v>30000</v>
      </c>
      <c r="L573">
        <v>8</v>
      </c>
      <c r="M573" s="1">
        <v>45357</v>
      </c>
    </row>
    <row r="574" spans="1:13" x14ac:dyDescent="0.35">
      <c r="A574" t="s">
        <v>997</v>
      </c>
      <c r="B574" t="s">
        <v>998</v>
      </c>
      <c r="C574" t="s">
        <v>130</v>
      </c>
      <c r="D574">
        <v>50</v>
      </c>
      <c r="E574">
        <v>50</v>
      </c>
      <c r="F574">
        <v>0</v>
      </c>
      <c r="G574" t="s">
        <v>14</v>
      </c>
      <c r="H574" t="s">
        <v>19</v>
      </c>
      <c r="I574" t="s">
        <v>15</v>
      </c>
      <c r="J574" t="s">
        <v>37</v>
      </c>
      <c r="K574">
        <v>80200</v>
      </c>
      <c r="L574">
        <v>7</v>
      </c>
      <c r="M574" s="1">
        <v>45515</v>
      </c>
    </row>
    <row r="575" spans="1:13" x14ac:dyDescent="0.35">
      <c r="A575" t="s">
        <v>999</v>
      </c>
      <c r="B575" t="s">
        <v>277</v>
      </c>
      <c r="C575" t="s">
        <v>13</v>
      </c>
      <c r="D575">
        <v>27</v>
      </c>
      <c r="E575">
        <v>27</v>
      </c>
      <c r="F575">
        <v>0</v>
      </c>
      <c r="G575" t="s">
        <v>14</v>
      </c>
      <c r="H575" t="s">
        <v>19</v>
      </c>
      <c r="I575" t="s">
        <v>2153</v>
      </c>
      <c r="J575" t="s">
        <v>26</v>
      </c>
      <c r="L575">
        <v>3</v>
      </c>
      <c r="M575" s="1">
        <v>45501</v>
      </c>
    </row>
    <row r="576" spans="1:13" x14ac:dyDescent="0.35">
      <c r="A576" t="s">
        <v>1000</v>
      </c>
      <c r="B576" t="s">
        <v>1001</v>
      </c>
      <c r="C576" t="s">
        <v>69</v>
      </c>
      <c r="D576">
        <v>44</v>
      </c>
      <c r="E576">
        <v>44</v>
      </c>
      <c r="F576">
        <v>0</v>
      </c>
      <c r="G576" t="s">
        <v>25</v>
      </c>
      <c r="H576" t="s">
        <v>19</v>
      </c>
      <c r="I576" t="s">
        <v>88</v>
      </c>
      <c r="J576" t="s">
        <v>40</v>
      </c>
      <c r="L576">
        <v>8</v>
      </c>
      <c r="M576" s="1">
        <v>45415</v>
      </c>
    </row>
    <row r="577" spans="1:13" x14ac:dyDescent="0.35">
      <c r="A577" t="s">
        <v>1002</v>
      </c>
      <c r="B577" t="s">
        <v>1003</v>
      </c>
      <c r="C577" t="s">
        <v>154</v>
      </c>
      <c r="D577">
        <v>20</v>
      </c>
      <c r="E577">
        <v>20</v>
      </c>
      <c r="F577">
        <v>0</v>
      </c>
      <c r="G577" t="s">
        <v>25</v>
      </c>
      <c r="H577" t="s">
        <v>58</v>
      </c>
      <c r="I577" t="s">
        <v>2153</v>
      </c>
      <c r="J577" t="s">
        <v>26</v>
      </c>
      <c r="L577">
        <v>6</v>
      </c>
      <c r="M577" s="1">
        <v>45435</v>
      </c>
    </row>
    <row r="578" spans="1:13" x14ac:dyDescent="0.35">
      <c r="A578" t="s">
        <v>1004</v>
      </c>
      <c r="B578" t="s">
        <v>822</v>
      </c>
      <c r="C578" t="s">
        <v>45</v>
      </c>
      <c r="D578">
        <v>37</v>
      </c>
      <c r="E578">
        <v>37</v>
      </c>
      <c r="F578">
        <v>0</v>
      </c>
      <c r="G578" t="s">
        <v>14</v>
      </c>
      <c r="H578" t="s">
        <v>19</v>
      </c>
      <c r="I578" t="s">
        <v>15</v>
      </c>
      <c r="J578" t="s">
        <v>40</v>
      </c>
      <c r="L578">
        <v>4</v>
      </c>
      <c r="M578" s="1">
        <v>45344</v>
      </c>
    </row>
    <row r="579" spans="1:13" x14ac:dyDescent="0.35">
      <c r="A579" t="s">
        <v>1005</v>
      </c>
      <c r="B579" t="s">
        <v>837</v>
      </c>
      <c r="C579" t="s">
        <v>119</v>
      </c>
      <c r="D579">
        <v>27</v>
      </c>
      <c r="E579">
        <v>27</v>
      </c>
      <c r="F579">
        <v>0</v>
      </c>
      <c r="G579" t="s">
        <v>14</v>
      </c>
      <c r="H579" t="s">
        <v>99</v>
      </c>
      <c r="I579" t="s">
        <v>105</v>
      </c>
      <c r="J579" t="s">
        <v>37</v>
      </c>
      <c r="K579">
        <v>61474</v>
      </c>
      <c r="L579">
        <v>9</v>
      </c>
      <c r="M579" s="1">
        <v>45545</v>
      </c>
    </row>
    <row r="580" spans="1:13" x14ac:dyDescent="0.35">
      <c r="A580" t="s">
        <v>1006</v>
      </c>
      <c r="B580" t="s">
        <v>1007</v>
      </c>
      <c r="C580" t="s">
        <v>184</v>
      </c>
      <c r="D580">
        <v>12</v>
      </c>
      <c r="E580">
        <v>12</v>
      </c>
      <c r="F580">
        <v>0</v>
      </c>
      <c r="G580" t="s">
        <v>14</v>
      </c>
      <c r="H580" t="s">
        <v>99</v>
      </c>
      <c r="I580" t="s">
        <v>15</v>
      </c>
      <c r="J580" t="s">
        <v>26</v>
      </c>
      <c r="L580">
        <v>6</v>
      </c>
      <c r="M580" s="1">
        <v>45348</v>
      </c>
    </row>
    <row r="581" spans="1:13" x14ac:dyDescent="0.35">
      <c r="A581" t="s">
        <v>1008</v>
      </c>
      <c r="B581" t="s">
        <v>1009</v>
      </c>
      <c r="C581" t="s">
        <v>45</v>
      </c>
      <c r="D581">
        <v>22</v>
      </c>
      <c r="E581">
        <v>22</v>
      </c>
      <c r="F581">
        <v>0</v>
      </c>
      <c r="G581" t="s">
        <v>14</v>
      </c>
      <c r="H581" t="s">
        <v>32</v>
      </c>
      <c r="I581" t="s">
        <v>15</v>
      </c>
      <c r="J581" t="s">
        <v>16</v>
      </c>
      <c r="L581">
        <v>8</v>
      </c>
      <c r="M581" s="1">
        <v>45360</v>
      </c>
    </row>
    <row r="582" spans="1:13" x14ac:dyDescent="0.35">
      <c r="A582" t="s">
        <v>1010</v>
      </c>
      <c r="B582" t="s">
        <v>261</v>
      </c>
      <c r="C582" t="s">
        <v>154</v>
      </c>
      <c r="D582">
        <v>28</v>
      </c>
      <c r="E582">
        <v>28</v>
      </c>
      <c r="F582">
        <v>0</v>
      </c>
      <c r="G582" t="s">
        <v>14</v>
      </c>
      <c r="H582" t="s">
        <v>99</v>
      </c>
      <c r="I582" t="s">
        <v>15</v>
      </c>
      <c r="J582" t="s">
        <v>26</v>
      </c>
      <c r="L582">
        <v>3</v>
      </c>
      <c r="M582" s="1">
        <v>45390</v>
      </c>
    </row>
    <row r="583" spans="1:13" x14ac:dyDescent="0.35">
      <c r="A583" t="s">
        <v>1011</v>
      </c>
      <c r="B583" t="s">
        <v>147</v>
      </c>
      <c r="C583" t="s">
        <v>184</v>
      </c>
      <c r="D583">
        <v>35</v>
      </c>
      <c r="E583">
        <v>35</v>
      </c>
      <c r="F583">
        <v>0</v>
      </c>
      <c r="G583" t="s">
        <v>14</v>
      </c>
      <c r="H583" t="s">
        <v>99</v>
      </c>
      <c r="I583" t="s">
        <v>15</v>
      </c>
      <c r="J583" t="s">
        <v>16</v>
      </c>
      <c r="L583">
        <v>5</v>
      </c>
      <c r="M583" s="1">
        <v>45365</v>
      </c>
    </row>
    <row r="584" spans="1:13" x14ac:dyDescent="0.35">
      <c r="A584" t="s">
        <v>1012</v>
      </c>
      <c r="B584" t="s">
        <v>107</v>
      </c>
      <c r="C584" t="s">
        <v>119</v>
      </c>
      <c r="D584">
        <v>17</v>
      </c>
      <c r="E584">
        <v>17</v>
      </c>
      <c r="F584">
        <v>0</v>
      </c>
      <c r="G584" t="s">
        <v>14</v>
      </c>
      <c r="H584" t="s">
        <v>99</v>
      </c>
      <c r="I584" t="s">
        <v>88</v>
      </c>
      <c r="J584" t="s">
        <v>16</v>
      </c>
      <c r="L584">
        <v>6</v>
      </c>
      <c r="M584" s="1">
        <v>45321</v>
      </c>
    </row>
    <row r="585" spans="1:13" x14ac:dyDescent="0.35">
      <c r="A585" t="s">
        <v>1013</v>
      </c>
      <c r="B585" t="s">
        <v>1014</v>
      </c>
      <c r="C585" t="s">
        <v>29</v>
      </c>
      <c r="D585">
        <v>19</v>
      </c>
      <c r="E585">
        <v>19</v>
      </c>
      <c r="F585">
        <v>0</v>
      </c>
      <c r="G585" t="s">
        <v>14</v>
      </c>
      <c r="H585" t="s">
        <v>19</v>
      </c>
      <c r="I585" t="s">
        <v>15</v>
      </c>
      <c r="J585" t="s">
        <v>40</v>
      </c>
      <c r="L585">
        <v>7</v>
      </c>
      <c r="M585" s="1">
        <v>45582</v>
      </c>
    </row>
    <row r="586" spans="1:13" x14ac:dyDescent="0.35">
      <c r="A586" t="s">
        <v>1015</v>
      </c>
      <c r="B586" t="s">
        <v>1016</v>
      </c>
      <c r="C586" t="s">
        <v>184</v>
      </c>
      <c r="D586">
        <v>22</v>
      </c>
      <c r="E586">
        <v>22</v>
      </c>
      <c r="F586">
        <v>0</v>
      </c>
      <c r="G586" t="s">
        <v>14</v>
      </c>
      <c r="H586" t="s">
        <v>32</v>
      </c>
      <c r="I586" t="s">
        <v>2153</v>
      </c>
      <c r="J586" t="s">
        <v>37</v>
      </c>
      <c r="K586">
        <v>30000</v>
      </c>
      <c r="L586">
        <v>4</v>
      </c>
      <c r="M586" s="1">
        <v>45507</v>
      </c>
    </row>
    <row r="587" spans="1:13" x14ac:dyDescent="0.35">
      <c r="A587" t="s">
        <v>1017</v>
      </c>
      <c r="B587" t="s">
        <v>694</v>
      </c>
      <c r="C587" t="s">
        <v>130</v>
      </c>
      <c r="D587">
        <v>23</v>
      </c>
      <c r="E587">
        <v>23</v>
      </c>
      <c r="F587">
        <v>0</v>
      </c>
      <c r="G587" t="s">
        <v>25</v>
      </c>
      <c r="H587" t="s">
        <v>19</v>
      </c>
      <c r="I587" t="s">
        <v>2154</v>
      </c>
      <c r="J587" t="s">
        <v>16</v>
      </c>
      <c r="L587">
        <v>5</v>
      </c>
      <c r="M587" s="1">
        <v>45318</v>
      </c>
    </row>
    <row r="588" spans="1:13" x14ac:dyDescent="0.35">
      <c r="A588" t="s">
        <v>2173</v>
      </c>
      <c r="B588" t="s">
        <v>1225</v>
      </c>
      <c r="C588" t="s">
        <v>184</v>
      </c>
      <c r="D588">
        <v>40</v>
      </c>
      <c r="E588">
        <v>40</v>
      </c>
      <c r="F588">
        <v>0</v>
      </c>
      <c r="G588" t="s">
        <v>14</v>
      </c>
      <c r="H588" t="s">
        <v>19</v>
      </c>
      <c r="I588" t="s">
        <v>105</v>
      </c>
      <c r="J588" t="s">
        <v>26</v>
      </c>
      <c r="L588">
        <v>2</v>
      </c>
      <c r="M588" s="1">
        <v>45392</v>
      </c>
    </row>
    <row r="589" spans="1:13" x14ac:dyDescent="0.35">
      <c r="A589" t="s">
        <v>1018</v>
      </c>
      <c r="B589" t="s">
        <v>1019</v>
      </c>
      <c r="C589" t="s">
        <v>184</v>
      </c>
      <c r="D589">
        <v>50</v>
      </c>
      <c r="E589">
        <v>50</v>
      </c>
      <c r="F589">
        <v>0</v>
      </c>
      <c r="G589" t="s">
        <v>14</v>
      </c>
      <c r="H589" t="s">
        <v>32</v>
      </c>
      <c r="I589" t="s">
        <v>2153</v>
      </c>
      <c r="J589" t="s">
        <v>37</v>
      </c>
      <c r="K589">
        <v>47901</v>
      </c>
      <c r="L589">
        <v>8</v>
      </c>
      <c r="M589" s="1">
        <v>45540</v>
      </c>
    </row>
    <row r="590" spans="1:13" x14ac:dyDescent="0.35">
      <c r="A590" t="s">
        <v>1020</v>
      </c>
      <c r="B590" t="s">
        <v>1021</v>
      </c>
      <c r="C590" t="s">
        <v>172</v>
      </c>
      <c r="D590">
        <v>39</v>
      </c>
      <c r="E590">
        <v>39</v>
      </c>
      <c r="F590">
        <v>0</v>
      </c>
      <c r="G590" t="s">
        <v>14</v>
      </c>
      <c r="H590" t="s">
        <v>99</v>
      </c>
      <c r="I590" t="s">
        <v>15</v>
      </c>
      <c r="J590" t="s">
        <v>37</v>
      </c>
      <c r="K590">
        <v>57873</v>
      </c>
      <c r="L590">
        <v>2</v>
      </c>
      <c r="M590" s="1">
        <v>45582</v>
      </c>
    </row>
    <row r="591" spans="1:13" x14ac:dyDescent="0.35">
      <c r="A591" t="s">
        <v>2174</v>
      </c>
      <c r="B591" t="s">
        <v>1022</v>
      </c>
      <c r="C591" t="s">
        <v>45</v>
      </c>
      <c r="D591">
        <v>8</v>
      </c>
      <c r="E591">
        <v>8</v>
      </c>
      <c r="F591">
        <v>0</v>
      </c>
      <c r="G591" t="s">
        <v>25</v>
      </c>
      <c r="H591" t="s">
        <v>99</v>
      </c>
      <c r="I591" t="s">
        <v>15</v>
      </c>
      <c r="J591" t="s">
        <v>26</v>
      </c>
      <c r="L591">
        <v>4</v>
      </c>
      <c r="M591" s="1">
        <v>45457</v>
      </c>
    </row>
    <row r="592" spans="1:13" x14ac:dyDescent="0.35">
      <c r="A592" t="s">
        <v>1023</v>
      </c>
      <c r="B592" t="s">
        <v>631</v>
      </c>
      <c r="C592" t="s">
        <v>172</v>
      </c>
      <c r="D592">
        <v>33</v>
      </c>
      <c r="E592">
        <v>33</v>
      </c>
      <c r="F592">
        <v>0</v>
      </c>
      <c r="G592" t="s">
        <v>14</v>
      </c>
      <c r="H592" t="s">
        <v>99</v>
      </c>
      <c r="I592" t="s">
        <v>15</v>
      </c>
      <c r="J592" t="s">
        <v>40</v>
      </c>
      <c r="L592">
        <v>6</v>
      </c>
      <c r="M592" s="1">
        <v>45414</v>
      </c>
    </row>
    <row r="593" spans="1:13" x14ac:dyDescent="0.35">
      <c r="A593" t="s">
        <v>1024</v>
      </c>
      <c r="B593" t="s">
        <v>1025</v>
      </c>
      <c r="C593" t="s">
        <v>13</v>
      </c>
      <c r="D593">
        <v>47</v>
      </c>
      <c r="E593">
        <v>47</v>
      </c>
      <c r="F593">
        <v>0</v>
      </c>
      <c r="G593" t="s">
        <v>25</v>
      </c>
      <c r="H593" t="s">
        <v>58</v>
      </c>
      <c r="I593" t="s">
        <v>15</v>
      </c>
      <c r="J593" t="s">
        <v>40</v>
      </c>
      <c r="L593">
        <v>8</v>
      </c>
      <c r="M593" s="1">
        <v>45386</v>
      </c>
    </row>
    <row r="594" spans="1:13" x14ac:dyDescent="0.35">
      <c r="A594" t="s">
        <v>1026</v>
      </c>
      <c r="B594" t="s">
        <v>954</v>
      </c>
      <c r="C594" t="s">
        <v>154</v>
      </c>
      <c r="D594">
        <v>41</v>
      </c>
      <c r="E594">
        <v>41</v>
      </c>
      <c r="F594">
        <v>0</v>
      </c>
      <c r="G594" t="s">
        <v>25</v>
      </c>
      <c r="H594" t="s">
        <v>19</v>
      </c>
      <c r="I594" t="s">
        <v>15</v>
      </c>
      <c r="J594" t="s">
        <v>37</v>
      </c>
      <c r="K594">
        <v>57160</v>
      </c>
      <c r="L594">
        <v>4</v>
      </c>
      <c r="M594" s="1">
        <v>45335</v>
      </c>
    </row>
    <row r="595" spans="1:13" x14ac:dyDescent="0.35">
      <c r="A595" t="s">
        <v>1027</v>
      </c>
      <c r="B595" t="s">
        <v>1028</v>
      </c>
      <c r="C595" t="s">
        <v>13</v>
      </c>
      <c r="D595">
        <v>21</v>
      </c>
      <c r="E595">
        <v>21</v>
      </c>
      <c r="F595">
        <v>0</v>
      </c>
      <c r="G595" t="s">
        <v>14</v>
      </c>
      <c r="H595" t="s">
        <v>58</v>
      </c>
      <c r="I595" t="s">
        <v>15</v>
      </c>
      <c r="J595" t="s">
        <v>16</v>
      </c>
      <c r="L595">
        <v>9</v>
      </c>
      <c r="M595" s="1">
        <v>45368</v>
      </c>
    </row>
    <row r="596" spans="1:13" x14ac:dyDescent="0.35">
      <c r="A596" t="s">
        <v>1029</v>
      </c>
      <c r="B596" t="s">
        <v>1001</v>
      </c>
      <c r="C596" t="s">
        <v>172</v>
      </c>
      <c r="D596">
        <v>46</v>
      </c>
      <c r="E596">
        <v>46</v>
      </c>
      <c r="F596">
        <v>0</v>
      </c>
      <c r="G596" t="s">
        <v>25</v>
      </c>
      <c r="H596" t="s">
        <v>58</v>
      </c>
      <c r="I596" t="s">
        <v>15</v>
      </c>
      <c r="J596" t="s">
        <v>26</v>
      </c>
      <c r="L596">
        <v>6</v>
      </c>
      <c r="M596" s="1">
        <v>45529</v>
      </c>
    </row>
    <row r="597" spans="1:13" x14ac:dyDescent="0.35">
      <c r="A597" t="s">
        <v>1030</v>
      </c>
      <c r="B597" t="s">
        <v>1031</v>
      </c>
      <c r="C597" t="s">
        <v>184</v>
      </c>
      <c r="D597">
        <v>15</v>
      </c>
      <c r="E597">
        <v>15</v>
      </c>
      <c r="F597">
        <v>0</v>
      </c>
      <c r="G597" t="s">
        <v>25</v>
      </c>
      <c r="H597" t="s">
        <v>58</v>
      </c>
      <c r="I597" t="s">
        <v>15</v>
      </c>
      <c r="J597" t="s">
        <v>26</v>
      </c>
      <c r="L597">
        <v>7</v>
      </c>
      <c r="M597" s="1">
        <v>45364</v>
      </c>
    </row>
    <row r="598" spans="1:13" x14ac:dyDescent="0.35">
      <c r="A598" t="s">
        <v>1032</v>
      </c>
      <c r="B598" t="s">
        <v>461</v>
      </c>
      <c r="C598" t="s">
        <v>69</v>
      </c>
      <c r="D598">
        <v>22</v>
      </c>
      <c r="E598">
        <v>22</v>
      </c>
      <c r="F598">
        <v>0</v>
      </c>
      <c r="G598" t="s">
        <v>14</v>
      </c>
      <c r="H598" t="s">
        <v>32</v>
      </c>
      <c r="I598" t="s">
        <v>15</v>
      </c>
      <c r="J598" t="s">
        <v>20</v>
      </c>
      <c r="K598">
        <v>32692</v>
      </c>
      <c r="L598">
        <v>3</v>
      </c>
      <c r="M598" s="1">
        <v>45559</v>
      </c>
    </row>
    <row r="599" spans="1:13" x14ac:dyDescent="0.35">
      <c r="A599" t="s">
        <v>1033</v>
      </c>
      <c r="B599" t="s">
        <v>742</v>
      </c>
      <c r="C599" t="s">
        <v>119</v>
      </c>
      <c r="D599">
        <v>29</v>
      </c>
      <c r="E599">
        <v>29</v>
      </c>
      <c r="F599">
        <v>0</v>
      </c>
      <c r="G599" t="s">
        <v>14</v>
      </c>
      <c r="H599" t="s">
        <v>58</v>
      </c>
      <c r="I599" t="s">
        <v>15</v>
      </c>
      <c r="J599" t="s">
        <v>16</v>
      </c>
      <c r="L599">
        <v>5</v>
      </c>
      <c r="M599" s="1">
        <v>45303</v>
      </c>
    </row>
    <row r="600" spans="1:13" x14ac:dyDescent="0.35">
      <c r="A600" t="s">
        <v>1034</v>
      </c>
      <c r="B600" t="s">
        <v>645</v>
      </c>
      <c r="C600" t="s">
        <v>69</v>
      </c>
      <c r="D600">
        <v>43</v>
      </c>
      <c r="E600">
        <v>43</v>
      </c>
      <c r="F600">
        <v>0</v>
      </c>
      <c r="G600" t="s">
        <v>14</v>
      </c>
      <c r="H600" t="s">
        <v>58</v>
      </c>
      <c r="I600" t="s">
        <v>105</v>
      </c>
      <c r="J600" t="s">
        <v>26</v>
      </c>
      <c r="L600">
        <v>2</v>
      </c>
      <c r="M600" s="1">
        <v>45331</v>
      </c>
    </row>
    <row r="601" spans="1:13" x14ac:dyDescent="0.35">
      <c r="A601" t="s">
        <v>1035</v>
      </c>
      <c r="B601" t="s">
        <v>1036</v>
      </c>
      <c r="C601" t="s">
        <v>69</v>
      </c>
      <c r="D601">
        <v>28</v>
      </c>
      <c r="E601">
        <v>28</v>
      </c>
      <c r="F601">
        <v>0</v>
      </c>
      <c r="G601" t="s">
        <v>25</v>
      </c>
      <c r="H601" t="s">
        <v>58</v>
      </c>
      <c r="I601" t="s">
        <v>2153</v>
      </c>
      <c r="J601" t="s">
        <v>40</v>
      </c>
      <c r="L601">
        <v>5</v>
      </c>
      <c r="M601" s="1">
        <v>45300</v>
      </c>
    </row>
    <row r="602" spans="1:13" x14ac:dyDescent="0.35">
      <c r="A602" t="s">
        <v>1037</v>
      </c>
      <c r="B602" t="s">
        <v>400</v>
      </c>
      <c r="C602" t="s">
        <v>69</v>
      </c>
      <c r="D602">
        <v>57</v>
      </c>
      <c r="E602">
        <v>57</v>
      </c>
      <c r="F602">
        <v>0</v>
      </c>
      <c r="G602" t="s">
        <v>25</v>
      </c>
      <c r="H602" t="s">
        <v>19</v>
      </c>
      <c r="I602" t="s">
        <v>15</v>
      </c>
      <c r="J602" t="s">
        <v>16</v>
      </c>
      <c r="L602">
        <v>1</v>
      </c>
      <c r="M602" s="1">
        <v>45350</v>
      </c>
    </row>
    <row r="603" spans="1:13" x14ac:dyDescent="0.35">
      <c r="A603" t="s">
        <v>1038</v>
      </c>
      <c r="B603" t="s">
        <v>586</v>
      </c>
      <c r="C603" t="s">
        <v>119</v>
      </c>
      <c r="D603">
        <v>47</v>
      </c>
      <c r="E603">
        <v>47</v>
      </c>
      <c r="F603">
        <v>0</v>
      </c>
      <c r="G603" t="s">
        <v>25</v>
      </c>
      <c r="H603" t="s">
        <v>19</v>
      </c>
      <c r="I603" t="s">
        <v>2154</v>
      </c>
      <c r="J603" t="s">
        <v>40</v>
      </c>
      <c r="L603">
        <v>6</v>
      </c>
      <c r="M603" s="1">
        <v>45494</v>
      </c>
    </row>
    <row r="604" spans="1:13" x14ac:dyDescent="0.35">
      <c r="A604" t="s">
        <v>1039</v>
      </c>
      <c r="B604" t="s">
        <v>253</v>
      </c>
      <c r="C604" t="s">
        <v>13</v>
      </c>
      <c r="D604">
        <v>41</v>
      </c>
      <c r="E604">
        <v>41</v>
      </c>
      <c r="F604">
        <v>0</v>
      </c>
      <c r="G604" t="s">
        <v>25</v>
      </c>
      <c r="H604" t="s">
        <v>58</v>
      </c>
      <c r="I604" t="s">
        <v>88</v>
      </c>
      <c r="J604" t="s">
        <v>37</v>
      </c>
      <c r="K604">
        <v>30000</v>
      </c>
      <c r="L604">
        <v>2</v>
      </c>
      <c r="M604" s="1">
        <v>45448</v>
      </c>
    </row>
    <row r="605" spans="1:13" x14ac:dyDescent="0.35">
      <c r="A605" t="s">
        <v>1040</v>
      </c>
      <c r="B605" t="s">
        <v>1041</v>
      </c>
      <c r="C605" t="s">
        <v>117</v>
      </c>
      <c r="D605">
        <v>73</v>
      </c>
      <c r="E605">
        <v>73</v>
      </c>
      <c r="F605">
        <v>0</v>
      </c>
      <c r="G605" t="s">
        <v>25</v>
      </c>
      <c r="H605" t="s">
        <v>32</v>
      </c>
      <c r="I605" t="s">
        <v>15</v>
      </c>
      <c r="J605" t="s">
        <v>40</v>
      </c>
      <c r="L605">
        <v>3</v>
      </c>
      <c r="M605" s="1">
        <v>45398</v>
      </c>
    </row>
    <row r="606" spans="1:13" x14ac:dyDescent="0.35">
      <c r="A606" t="s">
        <v>1042</v>
      </c>
      <c r="B606" t="s">
        <v>396</v>
      </c>
      <c r="C606" t="s">
        <v>13</v>
      </c>
      <c r="D606">
        <v>36</v>
      </c>
      <c r="E606">
        <v>36</v>
      </c>
      <c r="F606">
        <v>0</v>
      </c>
      <c r="G606" t="s">
        <v>25</v>
      </c>
      <c r="H606" t="s">
        <v>99</v>
      </c>
      <c r="I606" t="s">
        <v>105</v>
      </c>
      <c r="J606" t="s">
        <v>40</v>
      </c>
      <c r="L606">
        <v>3</v>
      </c>
      <c r="M606" s="1">
        <v>45406</v>
      </c>
    </row>
    <row r="607" spans="1:13" x14ac:dyDescent="0.35">
      <c r="A607" t="s">
        <v>1043</v>
      </c>
      <c r="B607" t="s">
        <v>1044</v>
      </c>
      <c r="C607" t="s">
        <v>119</v>
      </c>
      <c r="D607">
        <v>33</v>
      </c>
      <c r="E607">
        <v>33</v>
      </c>
      <c r="F607">
        <v>0</v>
      </c>
      <c r="G607" t="s">
        <v>25</v>
      </c>
      <c r="H607" t="s">
        <v>19</v>
      </c>
      <c r="I607" t="s">
        <v>105</v>
      </c>
      <c r="J607" t="s">
        <v>26</v>
      </c>
      <c r="L607">
        <v>2</v>
      </c>
      <c r="M607" s="1">
        <v>45436</v>
      </c>
    </row>
    <row r="608" spans="1:13" x14ac:dyDescent="0.35">
      <c r="A608" t="s">
        <v>1045</v>
      </c>
      <c r="B608" t="s">
        <v>1046</v>
      </c>
      <c r="C608" t="s">
        <v>45</v>
      </c>
      <c r="D608">
        <v>38</v>
      </c>
      <c r="E608">
        <v>38</v>
      </c>
      <c r="F608">
        <v>0</v>
      </c>
      <c r="G608" t="s">
        <v>25</v>
      </c>
      <c r="H608" t="s">
        <v>19</v>
      </c>
      <c r="I608" t="s">
        <v>2154</v>
      </c>
      <c r="J608" t="s">
        <v>40</v>
      </c>
      <c r="L608">
        <v>2</v>
      </c>
      <c r="M608" s="1">
        <v>45329</v>
      </c>
    </row>
    <row r="609" spans="1:13" x14ac:dyDescent="0.35">
      <c r="A609" t="s">
        <v>1047</v>
      </c>
      <c r="B609" t="s">
        <v>918</v>
      </c>
      <c r="C609" t="s">
        <v>69</v>
      </c>
      <c r="D609">
        <v>20</v>
      </c>
      <c r="E609">
        <v>20</v>
      </c>
      <c r="F609">
        <v>0</v>
      </c>
      <c r="G609" t="s">
        <v>14</v>
      </c>
      <c r="H609" t="s">
        <v>99</v>
      </c>
      <c r="I609" t="s">
        <v>105</v>
      </c>
      <c r="J609" t="s">
        <v>37</v>
      </c>
      <c r="K609">
        <v>30000</v>
      </c>
      <c r="L609">
        <v>8</v>
      </c>
      <c r="M609" s="1">
        <v>45355</v>
      </c>
    </row>
    <row r="610" spans="1:13" x14ac:dyDescent="0.35">
      <c r="A610" t="s">
        <v>1048</v>
      </c>
      <c r="B610" t="s">
        <v>829</v>
      </c>
      <c r="C610" t="s">
        <v>69</v>
      </c>
      <c r="D610">
        <v>22</v>
      </c>
      <c r="E610">
        <v>22</v>
      </c>
      <c r="F610">
        <v>0</v>
      </c>
      <c r="G610" t="s">
        <v>14</v>
      </c>
      <c r="H610" t="s">
        <v>99</v>
      </c>
      <c r="I610" t="s">
        <v>15</v>
      </c>
      <c r="J610" t="s">
        <v>16</v>
      </c>
      <c r="L610">
        <v>8</v>
      </c>
      <c r="M610" s="1">
        <v>45395</v>
      </c>
    </row>
    <row r="611" spans="1:13" x14ac:dyDescent="0.35">
      <c r="A611" t="s">
        <v>1049</v>
      </c>
      <c r="B611" t="s">
        <v>129</v>
      </c>
      <c r="C611" t="s">
        <v>130</v>
      </c>
      <c r="D611">
        <v>31</v>
      </c>
      <c r="E611">
        <v>31</v>
      </c>
      <c r="F611">
        <v>0</v>
      </c>
      <c r="G611" t="s">
        <v>14</v>
      </c>
      <c r="H611" t="s">
        <v>58</v>
      </c>
      <c r="I611" t="s">
        <v>105</v>
      </c>
      <c r="J611" t="s">
        <v>16</v>
      </c>
      <c r="L611">
        <v>1</v>
      </c>
      <c r="M611" s="1">
        <v>45526</v>
      </c>
    </row>
    <row r="612" spans="1:13" x14ac:dyDescent="0.35">
      <c r="A612" t="s">
        <v>1050</v>
      </c>
      <c r="B612" t="s">
        <v>438</v>
      </c>
      <c r="C612" t="s">
        <v>130</v>
      </c>
      <c r="D612">
        <v>60</v>
      </c>
      <c r="E612">
        <v>60</v>
      </c>
      <c r="F612">
        <v>0</v>
      </c>
      <c r="G612" t="s">
        <v>25</v>
      </c>
      <c r="H612" t="s">
        <v>19</v>
      </c>
      <c r="I612" t="s">
        <v>15</v>
      </c>
      <c r="J612" t="s">
        <v>26</v>
      </c>
      <c r="L612">
        <v>1</v>
      </c>
      <c r="M612" s="1">
        <v>45542</v>
      </c>
    </row>
    <row r="613" spans="1:13" x14ac:dyDescent="0.35">
      <c r="A613" t="s">
        <v>2175</v>
      </c>
      <c r="B613" t="s">
        <v>112</v>
      </c>
      <c r="C613" t="s">
        <v>184</v>
      </c>
      <c r="D613">
        <v>61</v>
      </c>
      <c r="E613">
        <v>61</v>
      </c>
      <c r="F613">
        <v>0</v>
      </c>
      <c r="G613" t="s">
        <v>25</v>
      </c>
      <c r="H613" t="s">
        <v>58</v>
      </c>
      <c r="I613" t="s">
        <v>105</v>
      </c>
      <c r="J613" t="s">
        <v>16</v>
      </c>
      <c r="L613">
        <v>4</v>
      </c>
      <c r="M613" s="1">
        <v>45382</v>
      </c>
    </row>
    <row r="614" spans="1:13" x14ac:dyDescent="0.35">
      <c r="A614" t="s">
        <v>1051</v>
      </c>
      <c r="B614" t="s">
        <v>817</v>
      </c>
      <c r="C614" t="s">
        <v>117</v>
      </c>
      <c r="D614">
        <v>9</v>
      </c>
      <c r="E614">
        <v>9</v>
      </c>
      <c r="F614">
        <v>0</v>
      </c>
      <c r="G614" t="s">
        <v>25</v>
      </c>
      <c r="H614" t="s">
        <v>99</v>
      </c>
      <c r="I614" t="s">
        <v>15</v>
      </c>
      <c r="J614" t="s">
        <v>26</v>
      </c>
      <c r="L614">
        <v>5</v>
      </c>
      <c r="M614" s="1">
        <v>45354</v>
      </c>
    </row>
    <row r="615" spans="1:13" x14ac:dyDescent="0.35">
      <c r="A615" t="s">
        <v>1052</v>
      </c>
      <c r="B615" t="s">
        <v>817</v>
      </c>
      <c r="C615" t="s">
        <v>154</v>
      </c>
      <c r="D615">
        <v>24</v>
      </c>
      <c r="E615">
        <v>24</v>
      </c>
      <c r="F615">
        <v>0</v>
      </c>
      <c r="G615" t="s">
        <v>25</v>
      </c>
      <c r="H615" t="s">
        <v>58</v>
      </c>
      <c r="I615" t="s">
        <v>15</v>
      </c>
      <c r="J615" t="s">
        <v>37</v>
      </c>
      <c r="K615">
        <v>40884</v>
      </c>
      <c r="L615">
        <v>2</v>
      </c>
      <c r="M615" s="1">
        <v>45298</v>
      </c>
    </row>
    <row r="616" spans="1:13" x14ac:dyDescent="0.35">
      <c r="A616" t="s">
        <v>1053</v>
      </c>
      <c r="B616" t="s">
        <v>727</v>
      </c>
      <c r="C616" t="s">
        <v>13</v>
      </c>
      <c r="D616">
        <v>29</v>
      </c>
      <c r="E616">
        <v>29</v>
      </c>
      <c r="F616">
        <v>0</v>
      </c>
      <c r="G616" t="s">
        <v>25</v>
      </c>
      <c r="H616" t="s">
        <v>58</v>
      </c>
      <c r="I616" t="s">
        <v>15</v>
      </c>
      <c r="J616" t="s">
        <v>26</v>
      </c>
      <c r="L616">
        <v>3</v>
      </c>
      <c r="M616" s="1">
        <v>45301</v>
      </c>
    </row>
    <row r="617" spans="1:13" x14ac:dyDescent="0.35">
      <c r="A617" t="s">
        <v>1054</v>
      </c>
      <c r="B617" t="s">
        <v>1055</v>
      </c>
      <c r="C617" t="s">
        <v>119</v>
      </c>
      <c r="D617">
        <v>53</v>
      </c>
      <c r="E617">
        <v>53</v>
      </c>
      <c r="F617">
        <v>0</v>
      </c>
      <c r="G617" t="s">
        <v>14</v>
      </c>
      <c r="H617" t="s">
        <v>19</v>
      </c>
      <c r="I617" t="s">
        <v>105</v>
      </c>
      <c r="J617" t="s">
        <v>20</v>
      </c>
      <c r="K617">
        <v>30000</v>
      </c>
      <c r="L617">
        <v>7</v>
      </c>
      <c r="M617" s="1">
        <v>45373</v>
      </c>
    </row>
    <row r="618" spans="1:13" x14ac:dyDescent="0.35">
      <c r="A618" t="s">
        <v>1056</v>
      </c>
      <c r="B618" t="s">
        <v>998</v>
      </c>
      <c r="C618" t="s">
        <v>130</v>
      </c>
      <c r="D618">
        <v>57</v>
      </c>
      <c r="E618">
        <v>57</v>
      </c>
      <c r="F618">
        <v>0</v>
      </c>
      <c r="G618" t="s">
        <v>14</v>
      </c>
      <c r="H618" t="s">
        <v>32</v>
      </c>
      <c r="I618" t="s">
        <v>105</v>
      </c>
      <c r="J618" t="s">
        <v>40</v>
      </c>
      <c r="L618">
        <v>8</v>
      </c>
      <c r="M618" s="1">
        <v>45381</v>
      </c>
    </row>
    <row r="619" spans="1:13" x14ac:dyDescent="0.35">
      <c r="A619" t="s">
        <v>1057</v>
      </c>
      <c r="B619" t="s">
        <v>1058</v>
      </c>
      <c r="C619" t="s">
        <v>69</v>
      </c>
      <c r="D619">
        <v>42</v>
      </c>
      <c r="E619">
        <v>42</v>
      </c>
      <c r="F619">
        <v>0</v>
      </c>
      <c r="G619" t="s">
        <v>14</v>
      </c>
      <c r="H619" t="s">
        <v>19</v>
      </c>
      <c r="I619" t="s">
        <v>105</v>
      </c>
      <c r="J619" t="s">
        <v>16</v>
      </c>
      <c r="L619">
        <v>6</v>
      </c>
      <c r="M619" s="1">
        <v>45362</v>
      </c>
    </row>
    <row r="620" spans="1:13" x14ac:dyDescent="0.35">
      <c r="A620" t="s">
        <v>1059</v>
      </c>
      <c r="B620" t="s">
        <v>1060</v>
      </c>
      <c r="C620" t="s">
        <v>29</v>
      </c>
      <c r="D620">
        <v>25</v>
      </c>
      <c r="E620">
        <v>25</v>
      </c>
      <c r="F620">
        <v>0</v>
      </c>
      <c r="G620" t="s">
        <v>14</v>
      </c>
      <c r="H620" t="s">
        <v>32</v>
      </c>
      <c r="I620" t="s">
        <v>2153</v>
      </c>
      <c r="J620" t="s">
        <v>37</v>
      </c>
      <c r="K620">
        <v>68067</v>
      </c>
      <c r="L620">
        <v>5</v>
      </c>
      <c r="M620" s="1">
        <v>45444</v>
      </c>
    </row>
    <row r="621" spans="1:13" x14ac:dyDescent="0.35">
      <c r="A621" t="s">
        <v>1061</v>
      </c>
      <c r="B621" t="s">
        <v>1062</v>
      </c>
      <c r="C621" t="s">
        <v>45</v>
      </c>
      <c r="D621">
        <v>42</v>
      </c>
      <c r="E621">
        <v>42</v>
      </c>
      <c r="F621">
        <v>0</v>
      </c>
      <c r="G621" t="s">
        <v>14</v>
      </c>
      <c r="H621" t="s">
        <v>58</v>
      </c>
      <c r="I621" t="s">
        <v>15</v>
      </c>
      <c r="J621" t="s">
        <v>40</v>
      </c>
      <c r="L621">
        <v>7</v>
      </c>
      <c r="M621" s="1">
        <v>45554</v>
      </c>
    </row>
    <row r="622" spans="1:13" x14ac:dyDescent="0.35">
      <c r="A622" t="s">
        <v>1063</v>
      </c>
      <c r="B622" t="s">
        <v>66</v>
      </c>
      <c r="C622" t="s">
        <v>117</v>
      </c>
      <c r="D622">
        <v>42</v>
      </c>
      <c r="E622">
        <v>42</v>
      </c>
      <c r="F622">
        <v>0</v>
      </c>
      <c r="G622" t="s">
        <v>25</v>
      </c>
      <c r="H622" t="s">
        <v>99</v>
      </c>
      <c r="I622" t="s">
        <v>105</v>
      </c>
      <c r="J622" t="s">
        <v>16</v>
      </c>
      <c r="L622">
        <v>3</v>
      </c>
      <c r="M622" s="1">
        <v>45575</v>
      </c>
    </row>
    <row r="623" spans="1:13" x14ac:dyDescent="0.35">
      <c r="A623" t="s">
        <v>1064</v>
      </c>
      <c r="B623" t="s">
        <v>79</v>
      </c>
      <c r="C623" t="s">
        <v>45</v>
      </c>
      <c r="D623">
        <v>43</v>
      </c>
      <c r="E623">
        <v>43</v>
      </c>
      <c r="F623">
        <v>0</v>
      </c>
      <c r="G623" t="s">
        <v>25</v>
      </c>
      <c r="H623" t="s">
        <v>58</v>
      </c>
      <c r="I623" t="s">
        <v>88</v>
      </c>
      <c r="J623" t="s">
        <v>26</v>
      </c>
      <c r="L623">
        <v>4</v>
      </c>
      <c r="M623" s="1">
        <v>45443</v>
      </c>
    </row>
    <row r="624" spans="1:13" x14ac:dyDescent="0.35">
      <c r="A624" t="s">
        <v>1065</v>
      </c>
      <c r="B624" t="s">
        <v>2176</v>
      </c>
      <c r="C624" t="s">
        <v>45</v>
      </c>
      <c r="D624">
        <v>56</v>
      </c>
      <c r="E624">
        <v>56</v>
      </c>
      <c r="F624">
        <v>0</v>
      </c>
      <c r="G624" t="s">
        <v>14</v>
      </c>
      <c r="H624" t="s">
        <v>19</v>
      </c>
      <c r="I624" t="s">
        <v>105</v>
      </c>
      <c r="J624" t="s">
        <v>20</v>
      </c>
      <c r="K624">
        <v>89231</v>
      </c>
      <c r="L624">
        <v>7</v>
      </c>
      <c r="M624" s="1">
        <v>45299</v>
      </c>
    </row>
    <row r="625" spans="1:13" x14ac:dyDescent="0.35">
      <c r="A625" t="s">
        <v>1066</v>
      </c>
      <c r="B625" t="s">
        <v>332</v>
      </c>
      <c r="C625" t="s">
        <v>69</v>
      </c>
      <c r="D625">
        <v>33</v>
      </c>
      <c r="E625">
        <v>33</v>
      </c>
      <c r="F625">
        <v>0</v>
      </c>
      <c r="G625" t="s">
        <v>14</v>
      </c>
      <c r="H625" t="s">
        <v>58</v>
      </c>
      <c r="I625" t="s">
        <v>88</v>
      </c>
      <c r="J625" t="s">
        <v>37</v>
      </c>
      <c r="K625">
        <v>57987</v>
      </c>
      <c r="L625">
        <v>9</v>
      </c>
      <c r="M625" s="1">
        <v>45434</v>
      </c>
    </row>
    <row r="626" spans="1:13" x14ac:dyDescent="0.35">
      <c r="A626" t="s">
        <v>1067</v>
      </c>
      <c r="B626" t="s">
        <v>1068</v>
      </c>
      <c r="C626" t="s">
        <v>184</v>
      </c>
      <c r="D626">
        <v>68</v>
      </c>
      <c r="E626">
        <v>68</v>
      </c>
      <c r="F626">
        <v>0</v>
      </c>
      <c r="G626" t="s">
        <v>14</v>
      </c>
      <c r="H626" t="s">
        <v>32</v>
      </c>
      <c r="I626" t="s">
        <v>15</v>
      </c>
      <c r="J626" t="s">
        <v>26</v>
      </c>
      <c r="L626">
        <v>1</v>
      </c>
      <c r="M626" s="1">
        <v>45473</v>
      </c>
    </row>
    <row r="627" spans="1:13" x14ac:dyDescent="0.35">
      <c r="A627" t="s">
        <v>1069</v>
      </c>
      <c r="B627" t="s">
        <v>902</v>
      </c>
      <c r="C627" t="s">
        <v>154</v>
      </c>
      <c r="D627">
        <v>58</v>
      </c>
      <c r="E627">
        <v>58</v>
      </c>
      <c r="F627">
        <v>0</v>
      </c>
      <c r="G627" t="s">
        <v>25</v>
      </c>
      <c r="H627" t="s">
        <v>99</v>
      </c>
      <c r="I627" t="s">
        <v>15</v>
      </c>
      <c r="J627" t="s">
        <v>26</v>
      </c>
      <c r="L627">
        <v>6</v>
      </c>
      <c r="M627" s="1">
        <v>45390</v>
      </c>
    </row>
    <row r="628" spans="1:13" x14ac:dyDescent="0.35">
      <c r="A628" t="s">
        <v>1070</v>
      </c>
      <c r="B628" t="s">
        <v>1071</v>
      </c>
      <c r="C628" t="s">
        <v>119</v>
      </c>
      <c r="D628">
        <v>47</v>
      </c>
      <c r="E628">
        <v>47</v>
      </c>
      <c r="F628">
        <v>0</v>
      </c>
      <c r="G628" t="s">
        <v>25</v>
      </c>
      <c r="H628" t="s">
        <v>58</v>
      </c>
      <c r="I628" t="s">
        <v>105</v>
      </c>
      <c r="J628" t="s">
        <v>26</v>
      </c>
      <c r="L628">
        <v>6</v>
      </c>
      <c r="M628" s="1">
        <v>45325</v>
      </c>
    </row>
    <row r="629" spans="1:13" x14ac:dyDescent="0.35">
      <c r="A629" t="s">
        <v>1072</v>
      </c>
      <c r="B629" t="s">
        <v>941</v>
      </c>
      <c r="C629" t="s">
        <v>29</v>
      </c>
      <c r="D629">
        <v>33</v>
      </c>
      <c r="E629">
        <v>33</v>
      </c>
      <c r="F629">
        <v>0</v>
      </c>
      <c r="G629" t="s">
        <v>14</v>
      </c>
      <c r="H629" t="s">
        <v>99</v>
      </c>
      <c r="I629" t="s">
        <v>2153</v>
      </c>
      <c r="J629" t="s">
        <v>26</v>
      </c>
      <c r="L629">
        <v>6</v>
      </c>
      <c r="M629" s="1">
        <v>45429</v>
      </c>
    </row>
    <row r="630" spans="1:13" x14ac:dyDescent="0.35">
      <c r="A630" t="s">
        <v>1073</v>
      </c>
      <c r="B630" t="s">
        <v>1074</v>
      </c>
      <c r="C630" t="s">
        <v>13</v>
      </c>
      <c r="D630">
        <v>12</v>
      </c>
      <c r="E630">
        <v>12</v>
      </c>
      <c r="F630">
        <v>0</v>
      </c>
      <c r="G630" t="s">
        <v>25</v>
      </c>
      <c r="H630" t="s">
        <v>99</v>
      </c>
      <c r="I630" t="s">
        <v>105</v>
      </c>
      <c r="J630" t="s">
        <v>26</v>
      </c>
      <c r="L630">
        <v>8</v>
      </c>
      <c r="M630" s="1">
        <v>45437</v>
      </c>
    </row>
    <row r="631" spans="1:13" x14ac:dyDescent="0.35">
      <c r="A631" t="s">
        <v>1075</v>
      </c>
      <c r="B631" t="s">
        <v>781</v>
      </c>
      <c r="C631" t="s">
        <v>184</v>
      </c>
      <c r="D631">
        <v>22</v>
      </c>
      <c r="E631">
        <v>22</v>
      </c>
      <c r="F631">
        <v>0</v>
      </c>
      <c r="G631" t="s">
        <v>14</v>
      </c>
      <c r="H631" t="s">
        <v>58</v>
      </c>
      <c r="I631" t="s">
        <v>2153</v>
      </c>
      <c r="J631" t="s">
        <v>20</v>
      </c>
      <c r="K631">
        <v>64600</v>
      </c>
      <c r="L631">
        <v>4</v>
      </c>
      <c r="M631" s="1">
        <v>45510</v>
      </c>
    </row>
    <row r="632" spans="1:13" x14ac:dyDescent="0.35">
      <c r="A632" t="s">
        <v>1076</v>
      </c>
      <c r="B632" t="s">
        <v>1077</v>
      </c>
      <c r="C632" t="s">
        <v>172</v>
      </c>
      <c r="D632">
        <v>34</v>
      </c>
      <c r="E632">
        <v>34</v>
      </c>
      <c r="F632">
        <v>0</v>
      </c>
      <c r="G632" t="s">
        <v>25</v>
      </c>
      <c r="H632" t="s">
        <v>58</v>
      </c>
      <c r="I632" t="s">
        <v>15</v>
      </c>
      <c r="J632" t="s">
        <v>37</v>
      </c>
      <c r="K632">
        <v>57592</v>
      </c>
      <c r="L632">
        <v>9</v>
      </c>
      <c r="M632" s="1">
        <v>45360</v>
      </c>
    </row>
    <row r="633" spans="1:13" x14ac:dyDescent="0.35">
      <c r="A633" t="s">
        <v>1078</v>
      </c>
      <c r="B633" t="s">
        <v>1079</v>
      </c>
      <c r="C633" t="s">
        <v>130</v>
      </c>
      <c r="D633">
        <v>66</v>
      </c>
      <c r="E633">
        <v>66</v>
      </c>
      <c r="F633">
        <v>0</v>
      </c>
      <c r="G633" t="s">
        <v>14</v>
      </c>
      <c r="H633" t="s">
        <v>58</v>
      </c>
      <c r="I633" t="s">
        <v>15</v>
      </c>
      <c r="J633" t="s">
        <v>37</v>
      </c>
      <c r="K633">
        <v>30182</v>
      </c>
      <c r="L633">
        <v>7</v>
      </c>
      <c r="M633" s="1">
        <v>45468</v>
      </c>
    </row>
    <row r="634" spans="1:13" x14ac:dyDescent="0.35">
      <c r="A634" t="s">
        <v>1080</v>
      </c>
      <c r="B634" t="s">
        <v>275</v>
      </c>
      <c r="C634" t="s">
        <v>69</v>
      </c>
      <c r="D634">
        <v>52</v>
      </c>
      <c r="E634">
        <v>52</v>
      </c>
      <c r="F634">
        <v>0</v>
      </c>
      <c r="G634" t="s">
        <v>25</v>
      </c>
      <c r="H634" t="s">
        <v>58</v>
      </c>
      <c r="I634" t="s">
        <v>105</v>
      </c>
      <c r="J634" t="s">
        <v>37</v>
      </c>
      <c r="K634">
        <v>90620</v>
      </c>
      <c r="L634">
        <v>4</v>
      </c>
      <c r="M634" s="1">
        <v>45385</v>
      </c>
    </row>
    <row r="635" spans="1:13" x14ac:dyDescent="0.35">
      <c r="A635" t="s">
        <v>1081</v>
      </c>
      <c r="B635" t="s">
        <v>1082</v>
      </c>
      <c r="C635" t="s">
        <v>45</v>
      </c>
      <c r="D635">
        <v>10</v>
      </c>
      <c r="E635">
        <v>10</v>
      </c>
      <c r="F635">
        <v>0</v>
      </c>
      <c r="G635" t="s">
        <v>25</v>
      </c>
      <c r="H635" t="s">
        <v>99</v>
      </c>
      <c r="I635" t="s">
        <v>88</v>
      </c>
      <c r="J635" t="s">
        <v>26</v>
      </c>
      <c r="L635">
        <v>7</v>
      </c>
      <c r="M635" s="1">
        <v>45295</v>
      </c>
    </row>
    <row r="636" spans="1:13" x14ac:dyDescent="0.35">
      <c r="A636" t="s">
        <v>1083</v>
      </c>
      <c r="B636" t="s">
        <v>715</v>
      </c>
      <c r="C636" t="s">
        <v>117</v>
      </c>
      <c r="D636">
        <v>52</v>
      </c>
      <c r="E636">
        <v>52</v>
      </c>
      <c r="F636">
        <v>0</v>
      </c>
      <c r="G636" t="s">
        <v>25</v>
      </c>
      <c r="H636" t="s">
        <v>32</v>
      </c>
      <c r="I636" t="s">
        <v>15</v>
      </c>
      <c r="J636" t="s">
        <v>26</v>
      </c>
      <c r="L636">
        <v>4</v>
      </c>
      <c r="M636" s="1">
        <v>45495</v>
      </c>
    </row>
    <row r="637" spans="1:13" x14ac:dyDescent="0.35">
      <c r="A637" t="s">
        <v>1084</v>
      </c>
      <c r="B637" t="s">
        <v>1085</v>
      </c>
      <c r="C637" t="s">
        <v>117</v>
      </c>
      <c r="D637">
        <v>32</v>
      </c>
      <c r="E637">
        <v>32</v>
      </c>
      <c r="F637">
        <v>0</v>
      </c>
      <c r="G637" t="s">
        <v>25</v>
      </c>
      <c r="H637" t="s">
        <v>32</v>
      </c>
      <c r="I637" t="s">
        <v>105</v>
      </c>
      <c r="J637" t="s">
        <v>40</v>
      </c>
      <c r="L637">
        <v>1</v>
      </c>
      <c r="M637" s="1">
        <v>45453</v>
      </c>
    </row>
    <row r="638" spans="1:13" x14ac:dyDescent="0.35">
      <c r="A638" t="s">
        <v>1086</v>
      </c>
      <c r="B638" t="s">
        <v>323</v>
      </c>
      <c r="C638" t="s">
        <v>119</v>
      </c>
      <c r="D638">
        <v>40</v>
      </c>
      <c r="E638">
        <v>40</v>
      </c>
      <c r="F638">
        <v>0</v>
      </c>
      <c r="G638" t="s">
        <v>25</v>
      </c>
      <c r="H638" t="s">
        <v>58</v>
      </c>
      <c r="I638" t="s">
        <v>105</v>
      </c>
      <c r="J638" t="s">
        <v>16</v>
      </c>
      <c r="L638">
        <v>6</v>
      </c>
      <c r="M638" s="1">
        <v>45317</v>
      </c>
    </row>
    <row r="639" spans="1:13" x14ac:dyDescent="0.35">
      <c r="A639" t="s">
        <v>1087</v>
      </c>
      <c r="B639" t="s">
        <v>1088</v>
      </c>
      <c r="C639" t="s">
        <v>29</v>
      </c>
      <c r="D639">
        <v>39</v>
      </c>
      <c r="E639">
        <v>39</v>
      </c>
      <c r="F639">
        <v>0</v>
      </c>
      <c r="G639" t="s">
        <v>25</v>
      </c>
      <c r="H639" t="s">
        <v>19</v>
      </c>
      <c r="I639" t="s">
        <v>88</v>
      </c>
      <c r="J639" t="s">
        <v>37</v>
      </c>
      <c r="K639">
        <v>70710</v>
      </c>
      <c r="L639">
        <v>6</v>
      </c>
      <c r="M639" s="1">
        <v>45511</v>
      </c>
    </row>
    <row r="640" spans="1:13" x14ac:dyDescent="0.35">
      <c r="A640" t="s">
        <v>1089</v>
      </c>
      <c r="B640" t="s">
        <v>1090</v>
      </c>
      <c r="C640" t="s">
        <v>29</v>
      </c>
      <c r="D640">
        <v>50</v>
      </c>
      <c r="E640">
        <v>50</v>
      </c>
      <c r="F640">
        <v>0</v>
      </c>
      <c r="G640" t="s">
        <v>25</v>
      </c>
      <c r="H640" t="s">
        <v>58</v>
      </c>
      <c r="I640" t="s">
        <v>105</v>
      </c>
      <c r="J640" t="s">
        <v>16</v>
      </c>
      <c r="L640">
        <v>8</v>
      </c>
      <c r="M640" s="1">
        <v>45397</v>
      </c>
    </row>
    <row r="641" spans="1:13" x14ac:dyDescent="0.35">
      <c r="A641" t="s">
        <v>1091</v>
      </c>
      <c r="B641" t="s">
        <v>200</v>
      </c>
      <c r="C641" t="s">
        <v>13</v>
      </c>
      <c r="D641">
        <v>47</v>
      </c>
      <c r="E641">
        <v>47</v>
      </c>
      <c r="F641">
        <v>0</v>
      </c>
      <c r="G641" t="s">
        <v>25</v>
      </c>
      <c r="H641" t="s">
        <v>19</v>
      </c>
      <c r="I641" t="s">
        <v>88</v>
      </c>
      <c r="J641" t="s">
        <v>16</v>
      </c>
      <c r="L641">
        <v>7</v>
      </c>
      <c r="M641" s="1">
        <v>45506</v>
      </c>
    </row>
    <row r="642" spans="1:13" x14ac:dyDescent="0.35">
      <c r="A642" t="s">
        <v>1092</v>
      </c>
      <c r="B642" t="s">
        <v>300</v>
      </c>
      <c r="C642" t="s">
        <v>45</v>
      </c>
      <c r="D642">
        <v>35</v>
      </c>
      <c r="E642">
        <v>35</v>
      </c>
      <c r="F642">
        <v>0</v>
      </c>
      <c r="G642" t="s">
        <v>25</v>
      </c>
      <c r="H642" t="s">
        <v>19</v>
      </c>
      <c r="I642" t="s">
        <v>105</v>
      </c>
      <c r="J642" t="s">
        <v>26</v>
      </c>
      <c r="L642">
        <v>2</v>
      </c>
      <c r="M642" s="1">
        <v>45576</v>
      </c>
    </row>
    <row r="643" spans="1:13" x14ac:dyDescent="0.35">
      <c r="A643" t="s">
        <v>1093</v>
      </c>
      <c r="B643" t="s">
        <v>379</v>
      </c>
      <c r="C643" t="s">
        <v>69</v>
      </c>
      <c r="D643">
        <v>35</v>
      </c>
      <c r="F643">
        <v>1</v>
      </c>
      <c r="G643" t="s">
        <v>25</v>
      </c>
      <c r="H643" t="s">
        <v>99</v>
      </c>
      <c r="I643" t="s">
        <v>105</v>
      </c>
      <c r="J643" t="s">
        <v>26</v>
      </c>
      <c r="L643">
        <v>6</v>
      </c>
      <c r="M643" s="1">
        <v>45550</v>
      </c>
    </row>
    <row r="644" spans="1:13" x14ac:dyDescent="0.35">
      <c r="A644" t="s">
        <v>1094</v>
      </c>
      <c r="B644" t="s">
        <v>1095</v>
      </c>
      <c r="C644" t="s">
        <v>154</v>
      </c>
      <c r="D644">
        <v>29</v>
      </c>
      <c r="E644">
        <v>29</v>
      </c>
      <c r="F644">
        <v>0</v>
      </c>
      <c r="G644" t="s">
        <v>25</v>
      </c>
      <c r="H644" t="s">
        <v>32</v>
      </c>
      <c r="I644" t="s">
        <v>88</v>
      </c>
      <c r="J644" t="s">
        <v>37</v>
      </c>
      <c r="K644">
        <v>30000</v>
      </c>
      <c r="L644">
        <v>6</v>
      </c>
      <c r="M644" s="1">
        <v>45408</v>
      </c>
    </row>
    <row r="645" spans="1:13" x14ac:dyDescent="0.35">
      <c r="A645" t="s">
        <v>1096</v>
      </c>
      <c r="B645" t="s">
        <v>584</v>
      </c>
      <c r="C645" t="s">
        <v>13</v>
      </c>
      <c r="D645">
        <v>7</v>
      </c>
      <c r="E645">
        <v>7</v>
      </c>
      <c r="F645">
        <v>0</v>
      </c>
      <c r="G645" t="s">
        <v>25</v>
      </c>
      <c r="H645" t="s">
        <v>99</v>
      </c>
      <c r="I645" t="s">
        <v>105</v>
      </c>
      <c r="J645" t="s">
        <v>26</v>
      </c>
      <c r="L645">
        <v>3</v>
      </c>
      <c r="M645" s="1">
        <v>45462</v>
      </c>
    </row>
    <row r="646" spans="1:13" x14ac:dyDescent="0.35">
      <c r="A646" t="s">
        <v>1097</v>
      </c>
      <c r="B646" t="s">
        <v>39</v>
      </c>
      <c r="C646" t="s">
        <v>117</v>
      </c>
      <c r="D646">
        <v>34</v>
      </c>
      <c r="E646">
        <v>34</v>
      </c>
      <c r="F646">
        <v>0</v>
      </c>
      <c r="G646" t="s">
        <v>14</v>
      </c>
      <c r="H646" t="s">
        <v>58</v>
      </c>
      <c r="I646" t="s">
        <v>15</v>
      </c>
      <c r="J646" t="s">
        <v>37</v>
      </c>
      <c r="K646">
        <v>49432</v>
      </c>
      <c r="L646">
        <v>4</v>
      </c>
      <c r="M646" s="1">
        <v>45529</v>
      </c>
    </row>
    <row r="647" spans="1:13" x14ac:dyDescent="0.35">
      <c r="A647" t="s">
        <v>1098</v>
      </c>
      <c r="B647" t="s">
        <v>329</v>
      </c>
      <c r="C647" t="s">
        <v>29</v>
      </c>
      <c r="D647">
        <v>46</v>
      </c>
      <c r="E647">
        <v>46</v>
      </c>
      <c r="F647">
        <v>0</v>
      </c>
      <c r="G647" t="s">
        <v>14</v>
      </c>
      <c r="H647" t="s">
        <v>32</v>
      </c>
      <c r="I647" t="s">
        <v>105</v>
      </c>
      <c r="J647" t="s">
        <v>26</v>
      </c>
      <c r="L647">
        <v>2</v>
      </c>
      <c r="M647" s="1">
        <v>45546</v>
      </c>
    </row>
    <row r="648" spans="1:13" x14ac:dyDescent="0.35">
      <c r="A648" t="s">
        <v>1099</v>
      </c>
      <c r="B648" t="s">
        <v>171</v>
      </c>
      <c r="C648" t="s">
        <v>184</v>
      </c>
      <c r="D648">
        <v>67</v>
      </c>
      <c r="E648">
        <v>67</v>
      </c>
      <c r="F648">
        <v>0</v>
      </c>
      <c r="G648" t="s">
        <v>14</v>
      </c>
      <c r="H648" t="s">
        <v>32</v>
      </c>
      <c r="I648" t="s">
        <v>105</v>
      </c>
      <c r="J648" t="s">
        <v>20</v>
      </c>
      <c r="K648">
        <v>71885</v>
      </c>
      <c r="L648">
        <v>2</v>
      </c>
      <c r="M648" s="1">
        <v>45441</v>
      </c>
    </row>
    <row r="649" spans="1:13" x14ac:dyDescent="0.35">
      <c r="A649" t="s">
        <v>1100</v>
      </c>
      <c r="B649" t="s">
        <v>1101</v>
      </c>
      <c r="C649" t="s">
        <v>130</v>
      </c>
      <c r="D649">
        <v>44</v>
      </c>
      <c r="E649">
        <v>44</v>
      </c>
      <c r="F649">
        <v>0</v>
      </c>
      <c r="G649" t="s">
        <v>25</v>
      </c>
      <c r="H649" t="s">
        <v>99</v>
      </c>
      <c r="I649" t="s">
        <v>15</v>
      </c>
      <c r="J649" t="s">
        <v>20</v>
      </c>
      <c r="K649">
        <v>54495</v>
      </c>
      <c r="L649">
        <v>1</v>
      </c>
      <c r="M649" s="1">
        <v>45552</v>
      </c>
    </row>
    <row r="650" spans="1:13" x14ac:dyDescent="0.35">
      <c r="A650" t="s">
        <v>1102</v>
      </c>
      <c r="B650" t="s">
        <v>1103</v>
      </c>
      <c r="C650" t="s">
        <v>29</v>
      </c>
      <c r="D650">
        <v>34</v>
      </c>
      <c r="E650">
        <v>34</v>
      </c>
      <c r="F650">
        <v>0</v>
      </c>
      <c r="G650" t="s">
        <v>14</v>
      </c>
      <c r="H650" t="s">
        <v>19</v>
      </c>
      <c r="I650" t="s">
        <v>2153</v>
      </c>
      <c r="J650" t="s">
        <v>16</v>
      </c>
      <c r="L650">
        <v>1</v>
      </c>
      <c r="M650" s="1">
        <v>45499</v>
      </c>
    </row>
    <row r="651" spans="1:13" x14ac:dyDescent="0.35">
      <c r="A651" t="s">
        <v>1104</v>
      </c>
      <c r="B651" t="s">
        <v>208</v>
      </c>
      <c r="C651" t="s">
        <v>117</v>
      </c>
      <c r="D651">
        <v>65</v>
      </c>
      <c r="E651">
        <v>65</v>
      </c>
      <c r="F651">
        <v>0</v>
      </c>
      <c r="G651" t="s">
        <v>14</v>
      </c>
      <c r="H651" t="s">
        <v>19</v>
      </c>
      <c r="I651" t="s">
        <v>105</v>
      </c>
      <c r="J651" t="s">
        <v>20</v>
      </c>
      <c r="K651">
        <v>30000</v>
      </c>
      <c r="L651">
        <v>3</v>
      </c>
      <c r="M651" s="1">
        <v>45332</v>
      </c>
    </row>
    <row r="652" spans="1:13" x14ac:dyDescent="0.35">
      <c r="A652" t="s">
        <v>1105</v>
      </c>
      <c r="B652" t="s">
        <v>811</v>
      </c>
      <c r="C652" t="s">
        <v>184</v>
      </c>
      <c r="D652">
        <v>18</v>
      </c>
      <c r="E652">
        <v>18</v>
      </c>
      <c r="F652">
        <v>0</v>
      </c>
      <c r="G652" t="s">
        <v>14</v>
      </c>
      <c r="H652" t="s">
        <v>32</v>
      </c>
      <c r="I652" t="s">
        <v>2154</v>
      </c>
      <c r="J652" t="s">
        <v>40</v>
      </c>
      <c r="L652">
        <v>7</v>
      </c>
      <c r="M652" s="1">
        <v>45461</v>
      </c>
    </row>
    <row r="653" spans="1:13" x14ac:dyDescent="0.35">
      <c r="A653" t="s">
        <v>1106</v>
      </c>
      <c r="B653" t="s">
        <v>867</v>
      </c>
      <c r="C653" t="s">
        <v>117</v>
      </c>
      <c r="D653">
        <v>49</v>
      </c>
      <c r="E653">
        <v>49</v>
      </c>
      <c r="F653">
        <v>0</v>
      </c>
      <c r="G653" t="s">
        <v>25</v>
      </c>
      <c r="H653" t="s">
        <v>32</v>
      </c>
      <c r="I653" t="s">
        <v>105</v>
      </c>
      <c r="J653" t="s">
        <v>26</v>
      </c>
      <c r="L653">
        <v>8</v>
      </c>
      <c r="M653" s="1">
        <v>45558</v>
      </c>
    </row>
    <row r="654" spans="1:13" x14ac:dyDescent="0.35">
      <c r="A654" t="s">
        <v>1107</v>
      </c>
      <c r="B654" t="s">
        <v>285</v>
      </c>
      <c r="C654" t="s">
        <v>184</v>
      </c>
      <c r="D654">
        <v>22</v>
      </c>
      <c r="E654">
        <v>22</v>
      </c>
      <c r="F654">
        <v>0</v>
      </c>
      <c r="G654" t="s">
        <v>25</v>
      </c>
      <c r="H654" t="s">
        <v>99</v>
      </c>
      <c r="I654" t="s">
        <v>15</v>
      </c>
      <c r="J654" t="s">
        <v>20</v>
      </c>
      <c r="K654">
        <v>69302</v>
      </c>
      <c r="L654">
        <v>5</v>
      </c>
      <c r="M654" s="1">
        <v>45567</v>
      </c>
    </row>
    <row r="655" spans="1:13" x14ac:dyDescent="0.35">
      <c r="A655" t="s">
        <v>1108</v>
      </c>
      <c r="B655" t="s">
        <v>194</v>
      </c>
      <c r="C655" t="s">
        <v>154</v>
      </c>
      <c r="D655">
        <v>21</v>
      </c>
      <c r="E655">
        <v>21</v>
      </c>
      <c r="F655">
        <v>0</v>
      </c>
      <c r="G655" t="s">
        <v>25</v>
      </c>
      <c r="H655" t="s">
        <v>19</v>
      </c>
      <c r="I655" t="s">
        <v>2153</v>
      </c>
      <c r="J655" t="s">
        <v>20</v>
      </c>
      <c r="K655">
        <v>42792</v>
      </c>
      <c r="L655">
        <v>1</v>
      </c>
      <c r="M655" s="1">
        <v>45532</v>
      </c>
    </row>
    <row r="656" spans="1:13" x14ac:dyDescent="0.35">
      <c r="A656" t="s">
        <v>1109</v>
      </c>
      <c r="B656" t="s">
        <v>1110</v>
      </c>
      <c r="C656" t="s">
        <v>13</v>
      </c>
      <c r="D656">
        <v>12</v>
      </c>
      <c r="E656">
        <v>12</v>
      </c>
      <c r="F656">
        <v>0</v>
      </c>
      <c r="G656" t="s">
        <v>14</v>
      </c>
      <c r="H656" t="s">
        <v>99</v>
      </c>
      <c r="I656" t="s">
        <v>105</v>
      </c>
      <c r="J656" t="s">
        <v>26</v>
      </c>
      <c r="L656">
        <v>9</v>
      </c>
      <c r="M656" s="1">
        <v>45546</v>
      </c>
    </row>
    <row r="657" spans="1:13" x14ac:dyDescent="0.35">
      <c r="A657" t="s">
        <v>1111</v>
      </c>
      <c r="B657" t="s">
        <v>136</v>
      </c>
      <c r="C657" t="s">
        <v>130</v>
      </c>
      <c r="D657">
        <v>39</v>
      </c>
      <c r="E657">
        <v>39</v>
      </c>
      <c r="F657">
        <v>0</v>
      </c>
      <c r="G657" t="s">
        <v>14</v>
      </c>
      <c r="H657" t="s">
        <v>19</v>
      </c>
      <c r="I657" t="s">
        <v>15</v>
      </c>
      <c r="J657" t="s">
        <v>20</v>
      </c>
      <c r="K657">
        <v>45964</v>
      </c>
      <c r="L657">
        <v>4</v>
      </c>
      <c r="M657" s="1">
        <v>45452</v>
      </c>
    </row>
    <row r="658" spans="1:13" x14ac:dyDescent="0.35">
      <c r="A658" t="s">
        <v>1112</v>
      </c>
      <c r="B658" t="s">
        <v>323</v>
      </c>
      <c r="C658" t="s">
        <v>45</v>
      </c>
      <c r="D658">
        <v>42</v>
      </c>
      <c r="E658">
        <v>42</v>
      </c>
      <c r="F658">
        <v>0</v>
      </c>
      <c r="G658" t="s">
        <v>25</v>
      </c>
      <c r="H658" t="s">
        <v>58</v>
      </c>
      <c r="I658" t="s">
        <v>15</v>
      </c>
      <c r="J658" t="s">
        <v>37</v>
      </c>
      <c r="K658">
        <v>42473</v>
      </c>
      <c r="L658">
        <v>1</v>
      </c>
      <c r="M658" s="1">
        <v>45387</v>
      </c>
    </row>
    <row r="659" spans="1:13" x14ac:dyDescent="0.35">
      <c r="A659" t="s">
        <v>1113</v>
      </c>
      <c r="B659" t="s">
        <v>886</v>
      </c>
      <c r="C659" t="s">
        <v>172</v>
      </c>
      <c r="D659">
        <v>46</v>
      </c>
      <c r="E659">
        <v>46</v>
      </c>
      <c r="F659">
        <v>0</v>
      </c>
      <c r="G659" t="s">
        <v>14</v>
      </c>
      <c r="H659" t="s">
        <v>99</v>
      </c>
      <c r="I659" t="s">
        <v>15</v>
      </c>
      <c r="J659" t="s">
        <v>40</v>
      </c>
      <c r="L659">
        <v>2</v>
      </c>
      <c r="M659" s="1">
        <v>45389</v>
      </c>
    </row>
    <row r="660" spans="1:13" x14ac:dyDescent="0.35">
      <c r="A660" t="s">
        <v>1114</v>
      </c>
      <c r="B660" t="s">
        <v>1115</v>
      </c>
      <c r="C660" t="s">
        <v>184</v>
      </c>
      <c r="D660">
        <v>48</v>
      </c>
      <c r="E660">
        <v>48</v>
      </c>
      <c r="F660">
        <v>0</v>
      </c>
      <c r="G660" t="s">
        <v>14</v>
      </c>
      <c r="H660" t="s">
        <v>58</v>
      </c>
      <c r="I660" t="s">
        <v>105</v>
      </c>
      <c r="J660" t="s">
        <v>16</v>
      </c>
      <c r="L660">
        <v>7</v>
      </c>
      <c r="M660" s="1">
        <v>45363</v>
      </c>
    </row>
    <row r="661" spans="1:13" x14ac:dyDescent="0.35">
      <c r="A661" t="s">
        <v>1116</v>
      </c>
      <c r="B661" t="s">
        <v>273</v>
      </c>
      <c r="C661" t="s">
        <v>172</v>
      </c>
      <c r="D661">
        <v>51</v>
      </c>
      <c r="E661">
        <v>51</v>
      </c>
      <c r="F661">
        <v>0</v>
      </c>
      <c r="G661" t="s">
        <v>14</v>
      </c>
      <c r="H661" t="s">
        <v>19</v>
      </c>
      <c r="I661" t="s">
        <v>88</v>
      </c>
      <c r="J661" t="s">
        <v>37</v>
      </c>
      <c r="K661">
        <v>74980</v>
      </c>
      <c r="L661">
        <v>6</v>
      </c>
      <c r="M661" s="1">
        <v>45300</v>
      </c>
    </row>
    <row r="662" spans="1:13" x14ac:dyDescent="0.35">
      <c r="A662" t="s">
        <v>1117</v>
      </c>
      <c r="B662" t="s">
        <v>1118</v>
      </c>
      <c r="C662" t="s">
        <v>117</v>
      </c>
      <c r="D662">
        <v>45</v>
      </c>
      <c r="E662">
        <v>45</v>
      </c>
      <c r="F662">
        <v>0</v>
      </c>
      <c r="G662" t="s">
        <v>14</v>
      </c>
      <c r="H662" t="s">
        <v>58</v>
      </c>
      <c r="I662" t="s">
        <v>88</v>
      </c>
      <c r="J662" t="s">
        <v>37</v>
      </c>
      <c r="K662">
        <v>30000</v>
      </c>
      <c r="L662">
        <v>3</v>
      </c>
      <c r="M662" s="1">
        <v>45384</v>
      </c>
    </row>
    <row r="663" spans="1:13" x14ac:dyDescent="0.35">
      <c r="A663" t="s">
        <v>1119</v>
      </c>
      <c r="B663" t="s">
        <v>616</v>
      </c>
      <c r="C663" t="s">
        <v>119</v>
      </c>
      <c r="D663">
        <v>35</v>
      </c>
      <c r="E663">
        <v>35</v>
      </c>
      <c r="F663">
        <v>0</v>
      </c>
      <c r="G663" t="s">
        <v>14</v>
      </c>
      <c r="H663" t="s">
        <v>19</v>
      </c>
      <c r="I663" t="s">
        <v>105</v>
      </c>
      <c r="J663" t="s">
        <v>37</v>
      </c>
      <c r="K663">
        <v>43547</v>
      </c>
      <c r="L663">
        <v>9</v>
      </c>
      <c r="M663" s="1">
        <v>45412</v>
      </c>
    </row>
    <row r="664" spans="1:13" x14ac:dyDescent="0.35">
      <c r="A664" t="s">
        <v>1120</v>
      </c>
      <c r="B664" t="s">
        <v>519</v>
      </c>
      <c r="C664" t="s">
        <v>13</v>
      </c>
      <c r="D664">
        <v>34</v>
      </c>
      <c r="F664">
        <v>1</v>
      </c>
      <c r="G664" t="s">
        <v>25</v>
      </c>
      <c r="H664" t="s">
        <v>58</v>
      </c>
      <c r="I664" t="s">
        <v>15</v>
      </c>
      <c r="J664" t="s">
        <v>16</v>
      </c>
      <c r="L664">
        <v>2</v>
      </c>
      <c r="M664" s="1">
        <v>45454</v>
      </c>
    </row>
    <row r="665" spans="1:13" x14ac:dyDescent="0.35">
      <c r="A665" t="s">
        <v>1121</v>
      </c>
      <c r="B665" t="s">
        <v>68</v>
      </c>
      <c r="C665" t="s">
        <v>119</v>
      </c>
      <c r="D665">
        <v>41</v>
      </c>
      <c r="E665">
        <v>41</v>
      </c>
      <c r="F665">
        <v>0</v>
      </c>
      <c r="G665" t="s">
        <v>14</v>
      </c>
      <c r="H665" t="s">
        <v>19</v>
      </c>
      <c r="I665" t="s">
        <v>15</v>
      </c>
      <c r="J665" t="s">
        <v>26</v>
      </c>
      <c r="L665">
        <v>1</v>
      </c>
      <c r="M665" s="1">
        <v>45420</v>
      </c>
    </row>
    <row r="666" spans="1:13" x14ac:dyDescent="0.35">
      <c r="A666" t="s">
        <v>1122</v>
      </c>
      <c r="B666" t="s">
        <v>798</v>
      </c>
      <c r="C666" t="s">
        <v>13</v>
      </c>
      <c r="D666">
        <v>18</v>
      </c>
      <c r="E666">
        <v>18</v>
      </c>
      <c r="F666">
        <v>0</v>
      </c>
      <c r="G666" t="s">
        <v>14</v>
      </c>
      <c r="H666" t="s">
        <v>58</v>
      </c>
      <c r="I666" t="s">
        <v>105</v>
      </c>
      <c r="J666" t="s">
        <v>26</v>
      </c>
      <c r="L666">
        <v>7</v>
      </c>
      <c r="M666" s="1">
        <v>45423</v>
      </c>
    </row>
    <row r="667" spans="1:13" x14ac:dyDescent="0.35">
      <c r="A667" t="s">
        <v>1123</v>
      </c>
      <c r="B667" t="s">
        <v>1124</v>
      </c>
      <c r="C667" t="s">
        <v>172</v>
      </c>
      <c r="D667">
        <v>1</v>
      </c>
      <c r="E667">
        <v>1</v>
      </c>
      <c r="F667">
        <v>0</v>
      </c>
      <c r="G667" t="s">
        <v>14</v>
      </c>
      <c r="H667" t="s">
        <v>99</v>
      </c>
      <c r="I667" t="s">
        <v>15</v>
      </c>
      <c r="J667" t="s">
        <v>26</v>
      </c>
      <c r="L667">
        <v>7</v>
      </c>
      <c r="M667" s="1">
        <v>45449</v>
      </c>
    </row>
    <row r="668" spans="1:13" x14ac:dyDescent="0.35">
      <c r="A668" t="s">
        <v>1125</v>
      </c>
      <c r="B668" t="s">
        <v>110</v>
      </c>
      <c r="C668" t="s">
        <v>119</v>
      </c>
      <c r="D668">
        <v>41</v>
      </c>
      <c r="E668">
        <v>41</v>
      </c>
      <c r="F668">
        <v>0</v>
      </c>
      <c r="G668" t="s">
        <v>14</v>
      </c>
      <c r="H668" t="s">
        <v>32</v>
      </c>
      <c r="I668" t="s">
        <v>105</v>
      </c>
      <c r="J668" t="s">
        <v>16</v>
      </c>
      <c r="L668">
        <v>8</v>
      </c>
      <c r="M668" s="1">
        <v>45444</v>
      </c>
    </row>
    <row r="669" spans="1:13" x14ac:dyDescent="0.35">
      <c r="A669" t="s">
        <v>1126</v>
      </c>
      <c r="B669" t="s">
        <v>1041</v>
      </c>
      <c r="C669" t="s">
        <v>69</v>
      </c>
      <c r="D669">
        <v>60</v>
      </c>
      <c r="E669">
        <v>60</v>
      </c>
      <c r="F669">
        <v>0</v>
      </c>
      <c r="G669" t="s">
        <v>25</v>
      </c>
      <c r="H669" t="s">
        <v>99</v>
      </c>
      <c r="I669" t="s">
        <v>2153</v>
      </c>
      <c r="J669" t="s">
        <v>40</v>
      </c>
      <c r="L669">
        <v>2</v>
      </c>
      <c r="M669" s="1">
        <v>45563</v>
      </c>
    </row>
    <row r="670" spans="1:13" x14ac:dyDescent="0.35">
      <c r="A670" t="s">
        <v>1127</v>
      </c>
      <c r="B670" t="s">
        <v>1128</v>
      </c>
      <c r="C670" t="s">
        <v>45</v>
      </c>
      <c r="D670">
        <v>29</v>
      </c>
      <c r="E670">
        <v>29</v>
      </c>
      <c r="F670">
        <v>0</v>
      </c>
      <c r="G670" t="s">
        <v>25</v>
      </c>
      <c r="H670" t="s">
        <v>19</v>
      </c>
      <c r="I670" t="s">
        <v>88</v>
      </c>
      <c r="J670" t="s">
        <v>20</v>
      </c>
      <c r="K670">
        <v>78260</v>
      </c>
      <c r="L670">
        <v>1</v>
      </c>
      <c r="M670" s="1">
        <v>45395</v>
      </c>
    </row>
    <row r="671" spans="1:13" x14ac:dyDescent="0.35">
      <c r="A671" t="s">
        <v>1129</v>
      </c>
      <c r="B671" t="s">
        <v>1130</v>
      </c>
      <c r="C671" t="s">
        <v>130</v>
      </c>
      <c r="D671">
        <v>46</v>
      </c>
      <c r="E671">
        <v>46</v>
      </c>
      <c r="F671">
        <v>0</v>
      </c>
      <c r="G671" t="s">
        <v>14</v>
      </c>
      <c r="H671" t="s">
        <v>58</v>
      </c>
      <c r="I671" t="s">
        <v>88</v>
      </c>
      <c r="J671" t="s">
        <v>16</v>
      </c>
      <c r="L671">
        <v>1</v>
      </c>
      <c r="M671" s="1">
        <v>45465</v>
      </c>
    </row>
    <row r="672" spans="1:13" x14ac:dyDescent="0.35">
      <c r="A672" t="s">
        <v>1131</v>
      </c>
      <c r="B672" t="s">
        <v>1132</v>
      </c>
      <c r="C672" t="s">
        <v>119</v>
      </c>
      <c r="D672">
        <v>24</v>
      </c>
      <c r="E672">
        <v>24</v>
      </c>
      <c r="F672">
        <v>0</v>
      </c>
      <c r="G672" t="s">
        <v>14</v>
      </c>
      <c r="H672" t="s">
        <v>58</v>
      </c>
      <c r="I672" t="s">
        <v>105</v>
      </c>
      <c r="J672" t="s">
        <v>40</v>
      </c>
      <c r="L672">
        <v>6</v>
      </c>
      <c r="M672" s="1">
        <v>45580</v>
      </c>
    </row>
    <row r="673" spans="1:13" x14ac:dyDescent="0.35">
      <c r="A673" t="s">
        <v>1133</v>
      </c>
      <c r="B673" t="s">
        <v>1134</v>
      </c>
      <c r="C673" t="s">
        <v>69</v>
      </c>
      <c r="D673">
        <v>26</v>
      </c>
      <c r="E673">
        <v>26</v>
      </c>
      <c r="F673">
        <v>0</v>
      </c>
      <c r="G673" t="s">
        <v>25</v>
      </c>
      <c r="H673" t="s">
        <v>58</v>
      </c>
      <c r="I673" t="s">
        <v>2153</v>
      </c>
      <c r="J673" t="s">
        <v>40</v>
      </c>
      <c r="L673">
        <v>3</v>
      </c>
      <c r="M673" s="1">
        <v>45498</v>
      </c>
    </row>
    <row r="674" spans="1:13" x14ac:dyDescent="0.35">
      <c r="A674" t="s">
        <v>1135</v>
      </c>
      <c r="B674" t="s">
        <v>1014</v>
      </c>
      <c r="C674" t="s">
        <v>13</v>
      </c>
      <c r="D674">
        <v>54</v>
      </c>
      <c r="E674">
        <v>54</v>
      </c>
      <c r="F674">
        <v>0</v>
      </c>
      <c r="G674" t="s">
        <v>14</v>
      </c>
      <c r="H674" t="s">
        <v>58</v>
      </c>
      <c r="I674" t="s">
        <v>105</v>
      </c>
      <c r="J674" t="s">
        <v>40</v>
      </c>
      <c r="L674">
        <v>9</v>
      </c>
      <c r="M674" s="1">
        <v>45318</v>
      </c>
    </row>
    <row r="675" spans="1:13" x14ac:dyDescent="0.35">
      <c r="A675" t="s">
        <v>1136</v>
      </c>
      <c r="B675" t="s">
        <v>1137</v>
      </c>
      <c r="C675" t="s">
        <v>172</v>
      </c>
      <c r="D675">
        <v>24</v>
      </c>
      <c r="E675">
        <v>24</v>
      </c>
      <c r="F675">
        <v>0</v>
      </c>
      <c r="G675" t="s">
        <v>25</v>
      </c>
      <c r="H675" t="s">
        <v>32</v>
      </c>
      <c r="I675" t="s">
        <v>15</v>
      </c>
      <c r="J675" t="s">
        <v>40</v>
      </c>
      <c r="L675">
        <v>7</v>
      </c>
      <c r="M675" s="1">
        <v>45431</v>
      </c>
    </row>
    <row r="676" spans="1:13" x14ac:dyDescent="0.35">
      <c r="A676" t="s">
        <v>2177</v>
      </c>
      <c r="B676" t="s">
        <v>1138</v>
      </c>
      <c r="C676" t="s">
        <v>117</v>
      </c>
      <c r="D676">
        <v>18</v>
      </c>
      <c r="E676">
        <v>18</v>
      </c>
      <c r="F676">
        <v>0</v>
      </c>
      <c r="G676" t="s">
        <v>14</v>
      </c>
      <c r="H676" t="s">
        <v>99</v>
      </c>
      <c r="I676" t="s">
        <v>105</v>
      </c>
      <c r="J676" t="s">
        <v>16</v>
      </c>
      <c r="L676">
        <v>5</v>
      </c>
      <c r="M676" s="1">
        <v>45324</v>
      </c>
    </row>
    <row r="677" spans="1:13" x14ac:dyDescent="0.35">
      <c r="A677" t="s">
        <v>1139</v>
      </c>
      <c r="B677" t="s">
        <v>194</v>
      </c>
      <c r="C677" t="s">
        <v>117</v>
      </c>
      <c r="D677">
        <v>18</v>
      </c>
      <c r="E677">
        <v>18</v>
      </c>
      <c r="F677">
        <v>0</v>
      </c>
      <c r="G677" t="s">
        <v>25</v>
      </c>
      <c r="H677" t="s">
        <v>99</v>
      </c>
      <c r="I677" t="s">
        <v>15</v>
      </c>
      <c r="J677" t="s">
        <v>16</v>
      </c>
      <c r="L677">
        <v>4</v>
      </c>
      <c r="M677" s="1">
        <v>45372</v>
      </c>
    </row>
    <row r="678" spans="1:13" x14ac:dyDescent="0.35">
      <c r="A678" t="s">
        <v>1140</v>
      </c>
      <c r="B678" t="s">
        <v>1141</v>
      </c>
      <c r="C678" t="s">
        <v>154</v>
      </c>
      <c r="D678">
        <v>41</v>
      </c>
      <c r="E678">
        <v>41</v>
      </c>
      <c r="F678">
        <v>0</v>
      </c>
      <c r="G678" t="s">
        <v>25</v>
      </c>
      <c r="H678" t="s">
        <v>32</v>
      </c>
      <c r="I678" t="s">
        <v>2153</v>
      </c>
      <c r="J678" t="s">
        <v>20</v>
      </c>
      <c r="K678">
        <v>51960</v>
      </c>
      <c r="L678">
        <v>6</v>
      </c>
      <c r="M678" s="1">
        <v>45529</v>
      </c>
    </row>
    <row r="679" spans="1:13" x14ac:dyDescent="0.35">
      <c r="A679" t="s">
        <v>1142</v>
      </c>
      <c r="B679" t="s">
        <v>694</v>
      </c>
      <c r="C679" t="s">
        <v>45</v>
      </c>
      <c r="D679">
        <v>20</v>
      </c>
      <c r="E679">
        <v>20</v>
      </c>
      <c r="F679">
        <v>0</v>
      </c>
      <c r="G679" t="s">
        <v>25</v>
      </c>
      <c r="H679" t="s">
        <v>19</v>
      </c>
      <c r="I679" t="s">
        <v>15</v>
      </c>
      <c r="J679" t="s">
        <v>20</v>
      </c>
      <c r="K679">
        <v>44189</v>
      </c>
      <c r="L679">
        <v>7</v>
      </c>
      <c r="M679" s="1">
        <v>45512</v>
      </c>
    </row>
    <row r="680" spans="1:13" x14ac:dyDescent="0.35">
      <c r="A680" t="s">
        <v>1143</v>
      </c>
      <c r="B680" t="s">
        <v>1144</v>
      </c>
      <c r="C680" t="s">
        <v>69</v>
      </c>
      <c r="D680">
        <v>36</v>
      </c>
      <c r="E680">
        <v>36</v>
      </c>
      <c r="F680">
        <v>0</v>
      </c>
      <c r="G680" t="s">
        <v>14</v>
      </c>
      <c r="H680" t="s">
        <v>58</v>
      </c>
      <c r="I680" t="s">
        <v>105</v>
      </c>
      <c r="J680" t="s">
        <v>40</v>
      </c>
      <c r="L680">
        <v>3</v>
      </c>
      <c r="M680" s="1">
        <v>45309</v>
      </c>
    </row>
    <row r="681" spans="1:13" x14ac:dyDescent="0.35">
      <c r="A681" t="s">
        <v>1145</v>
      </c>
      <c r="B681" t="s">
        <v>1146</v>
      </c>
      <c r="C681" t="s">
        <v>184</v>
      </c>
      <c r="D681">
        <v>32</v>
      </c>
      <c r="E681">
        <v>32</v>
      </c>
      <c r="F681">
        <v>0</v>
      </c>
      <c r="G681" t="s">
        <v>25</v>
      </c>
      <c r="H681" t="s">
        <v>58</v>
      </c>
      <c r="I681" t="s">
        <v>105</v>
      </c>
      <c r="J681" t="s">
        <v>20</v>
      </c>
      <c r="K681">
        <v>45567</v>
      </c>
      <c r="L681">
        <v>6</v>
      </c>
      <c r="M681" s="1">
        <v>45364</v>
      </c>
    </row>
    <row r="682" spans="1:13" x14ac:dyDescent="0.35">
      <c r="A682" t="s">
        <v>1147</v>
      </c>
      <c r="B682" t="s">
        <v>1148</v>
      </c>
      <c r="C682" t="s">
        <v>69</v>
      </c>
      <c r="D682">
        <v>37</v>
      </c>
      <c r="E682">
        <v>37</v>
      </c>
      <c r="F682">
        <v>0</v>
      </c>
      <c r="G682" t="s">
        <v>14</v>
      </c>
      <c r="H682" t="s">
        <v>58</v>
      </c>
      <c r="I682" t="s">
        <v>2153</v>
      </c>
      <c r="J682" t="s">
        <v>16</v>
      </c>
      <c r="L682">
        <v>2</v>
      </c>
      <c r="M682" s="1">
        <v>45455</v>
      </c>
    </row>
    <row r="683" spans="1:13" x14ac:dyDescent="0.35">
      <c r="A683" t="s">
        <v>1149</v>
      </c>
      <c r="B683" t="s">
        <v>475</v>
      </c>
      <c r="C683" t="s">
        <v>29</v>
      </c>
      <c r="D683">
        <v>17</v>
      </c>
      <c r="E683">
        <v>17</v>
      </c>
      <c r="F683">
        <v>0</v>
      </c>
      <c r="G683" t="s">
        <v>14</v>
      </c>
      <c r="H683" t="s">
        <v>19</v>
      </c>
      <c r="I683" t="s">
        <v>2153</v>
      </c>
      <c r="J683" t="s">
        <v>16</v>
      </c>
      <c r="L683">
        <v>5</v>
      </c>
      <c r="M683" s="1">
        <v>45483</v>
      </c>
    </row>
    <row r="684" spans="1:13" x14ac:dyDescent="0.35">
      <c r="A684" t="s">
        <v>1150</v>
      </c>
      <c r="B684" t="s">
        <v>204</v>
      </c>
      <c r="C684" t="s">
        <v>154</v>
      </c>
      <c r="D684">
        <v>60</v>
      </c>
      <c r="E684">
        <v>60</v>
      </c>
      <c r="F684">
        <v>0</v>
      </c>
      <c r="G684" t="s">
        <v>14</v>
      </c>
      <c r="H684" t="s">
        <v>58</v>
      </c>
      <c r="I684" t="s">
        <v>15</v>
      </c>
      <c r="J684" t="s">
        <v>37</v>
      </c>
      <c r="K684">
        <v>30000</v>
      </c>
      <c r="L684">
        <v>2</v>
      </c>
      <c r="M684" s="1">
        <v>45507</v>
      </c>
    </row>
    <row r="685" spans="1:13" x14ac:dyDescent="0.35">
      <c r="A685" t="s">
        <v>1151</v>
      </c>
      <c r="B685" t="s">
        <v>192</v>
      </c>
      <c r="C685" t="s">
        <v>172</v>
      </c>
      <c r="D685">
        <v>43</v>
      </c>
      <c r="E685">
        <v>43</v>
      </c>
      <c r="F685">
        <v>0</v>
      </c>
      <c r="G685" t="s">
        <v>25</v>
      </c>
      <c r="H685" t="s">
        <v>32</v>
      </c>
      <c r="I685" t="s">
        <v>105</v>
      </c>
      <c r="J685" t="s">
        <v>26</v>
      </c>
      <c r="L685">
        <v>5</v>
      </c>
      <c r="M685" s="1">
        <v>45565</v>
      </c>
    </row>
    <row r="686" spans="1:13" x14ac:dyDescent="0.35">
      <c r="A686" t="s">
        <v>1152</v>
      </c>
      <c r="B686" t="s">
        <v>1153</v>
      </c>
      <c r="C686" t="s">
        <v>154</v>
      </c>
      <c r="D686">
        <v>19</v>
      </c>
      <c r="E686">
        <v>19</v>
      </c>
      <c r="F686">
        <v>0</v>
      </c>
      <c r="G686" t="s">
        <v>14</v>
      </c>
      <c r="H686" t="s">
        <v>32</v>
      </c>
      <c r="I686" t="s">
        <v>105</v>
      </c>
      <c r="J686" t="s">
        <v>20</v>
      </c>
      <c r="K686">
        <v>62626</v>
      </c>
      <c r="L686">
        <v>8</v>
      </c>
      <c r="M686" s="1">
        <v>45383</v>
      </c>
    </row>
    <row r="687" spans="1:13" x14ac:dyDescent="0.35">
      <c r="A687" t="s">
        <v>1154</v>
      </c>
      <c r="B687" t="s">
        <v>2178</v>
      </c>
      <c r="C687" t="s">
        <v>154</v>
      </c>
      <c r="D687">
        <v>26</v>
      </c>
      <c r="E687">
        <v>26</v>
      </c>
      <c r="F687">
        <v>0</v>
      </c>
      <c r="G687" t="s">
        <v>25</v>
      </c>
      <c r="H687" t="s">
        <v>99</v>
      </c>
      <c r="I687" t="s">
        <v>15</v>
      </c>
      <c r="J687" t="s">
        <v>20</v>
      </c>
      <c r="K687">
        <v>48274</v>
      </c>
      <c r="L687">
        <v>1</v>
      </c>
      <c r="M687" s="1">
        <v>45296</v>
      </c>
    </row>
    <row r="688" spans="1:13" x14ac:dyDescent="0.35">
      <c r="A688" t="s">
        <v>1155</v>
      </c>
      <c r="B688" t="s">
        <v>639</v>
      </c>
      <c r="C688" t="s">
        <v>45</v>
      </c>
      <c r="D688">
        <v>38</v>
      </c>
      <c r="E688">
        <v>38</v>
      </c>
      <c r="F688">
        <v>0</v>
      </c>
      <c r="G688" t="s">
        <v>14</v>
      </c>
      <c r="H688" t="s">
        <v>58</v>
      </c>
      <c r="I688" t="s">
        <v>2154</v>
      </c>
      <c r="J688" t="s">
        <v>16</v>
      </c>
      <c r="L688">
        <v>8</v>
      </c>
      <c r="M688" s="1">
        <v>45355</v>
      </c>
    </row>
    <row r="689" spans="1:13" x14ac:dyDescent="0.35">
      <c r="A689" t="s">
        <v>1156</v>
      </c>
      <c r="B689" t="s">
        <v>567</v>
      </c>
      <c r="C689" t="s">
        <v>154</v>
      </c>
      <c r="D689">
        <v>15</v>
      </c>
      <c r="E689">
        <v>15</v>
      </c>
      <c r="F689">
        <v>0</v>
      </c>
      <c r="G689" t="s">
        <v>14</v>
      </c>
      <c r="H689" t="s">
        <v>19</v>
      </c>
      <c r="I689" t="s">
        <v>15</v>
      </c>
      <c r="J689" t="s">
        <v>20</v>
      </c>
      <c r="K689">
        <v>30000</v>
      </c>
      <c r="L689">
        <v>9</v>
      </c>
      <c r="M689" s="1">
        <v>45556</v>
      </c>
    </row>
    <row r="690" spans="1:13" x14ac:dyDescent="0.35">
      <c r="A690" t="s">
        <v>1157</v>
      </c>
      <c r="B690" t="s">
        <v>1082</v>
      </c>
      <c r="C690" t="s">
        <v>13</v>
      </c>
      <c r="D690">
        <v>31</v>
      </c>
      <c r="E690">
        <v>31</v>
      </c>
      <c r="F690">
        <v>0</v>
      </c>
      <c r="G690" t="s">
        <v>25</v>
      </c>
      <c r="H690" t="s">
        <v>58</v>
      </c>
      <c r="I690" t="s">
        <v>15</v>
      </c>
      <c r="J690" t="s">
        <v>16</v>
      </c>
      <c r="L690">
        <v>7</v>
      </c>
      <c r="M690" s="1">
        <v>45456</v>
      </c>
    </row>
    <row r="691" spans="1:13" x14ac:dyDescent="0.35">
      <c r="A691" t="s">
        <v>1158</v>
      </c>
      <c r="B691" t="s">
        <v>1159</v>
      </c>
      <c r="C691" t="s">
        <v>172</v>
      </c>
      <c r="D691">
        <v>48</v>
      </c>
      <c r="E691">
        <v>48</v>
      </c>
      <c r="F691">
        <v>0</v>
      </c>
      <c r="G691" t="s">
        <v>14</v>
      </c>
      <c r="H691" t="s">
        <v>99</v>
      </c>
      <c r="I691" t="s">
        <v>15</v>
      </c>
      <c r="J691" t="s">
        <v>16</v>
      </c>
      <c r="L691">
        <v>8</v>
      </c>
      <c r="M691" s="1">
        <v>45406</v>
      </c>
    </row>
    <row r="692" spans="1:13" x14ac:dyDescent="0.35">
      <c r="A692" t="s">
        <v>1160</v>
      </c>
      <c r="B692" t="s">
        <v>162</v>
      </c>
      <c r="C692" t="s">
        <v>184</v>
      </c>
      <c r="D692">
        <v>21</v>
      </c>
      <c r="E692">
        <v>21</v>
      </c>
      <c r="F692">
        <v>0</v>
      </c>
      <c r="G692" t="s">
        <v>14</v>
      </c>
      <c r="H692" t="s">
        <v>32</v>
      </c>
      <c r="I692" t="s">
        <v>15</v>
      </c>
      <c r="J692" t="s">
        <v>37</v>
      </c>
      <c r="K692">
        <v>30000</v>
      </c>
      <c r="L692">
        <v>9</v>
      </c>
      <c r="M692" s="1">
        <v>45365</v>
      </c>
    </row>
    <row r="693" spans="1:13" x14ac:dyDescent="0.35">
      <c r="A693" t="s">
        <v>1161</v>
      </c>
      <c r="B693" t="s">
        <v>406</v>
      </c>
      <c r="C693" t="s">
        <v>69</v>
      </c>
      <c r="D693">
        <v>19</v>
      </c>
      <c r="E693">
        <v>19</v>
      </c>
      <c r="F693">
        <v>0</v>
      </c>
      <c r="G693" t="s">
        <v>14</v>
      </c>
      <c r="H693" t="s">
        <v>32</v>
      </c>
      <c r="I693" t="s">
        <v>105</v>
      </c>
      <c r="J693" t="s">
        <v>37</v>
      </c>
      <c r="K693">
        <v>80634</v>
      </c>
      <c r="L693">
        <v>4</v>
      </c>
      <c r="M693" s="1">
        <v>45514</v>
      </c>
    </row>
    <row r="694" spans="1:13" x14ac:dyDescent="0.35">
      <c r="A694" t="s">
        <v>1162</v>
      </c>
      <c r="B694" t="s">
        <v>1163</v>
      </c>
      <c r="C694" t="s">
        <v>172</v>
      </c>
      <c r="D694">
        <v>12</v>
      </c>
      <c r="E694">
        <v>12</v>
      </c>
      <c r="F694">
        <v>0</v>
      </c>
      <c r="G694" t="s">
        <v>25</v>
      </c>
      <c r="H694" t="s">
        <v>99</v>
      </c>
      <c r="I694" t="s">
        <v>2153</v>
      </c>
      <c r="J694" t="s">
        <v>26</v>
      </c>
      <c r="L694">
        <v>1</v>
      </c>
      <c r="M694" s="1">
        <v>45494</v>
      </c>
    </row>
    <row r="695" spans="1:13" x14ac:dyDescent="0.35">
      <c r="A695" t="s">
        <v>1164</v>
      </c>
      <c r="B695" t="s">
        <v>867</v>
      </c>
      <c r="C695" t="s">
        <v>13</v>
      </c>
      <c r="D695">
        <v>23</v>
      </c>
      <c r="E695">
        <v>23</v>
      </c>
      <c r="F695">
        <v>0</v>
      </c>
      <c r="G695" t="s">
        <v>25</v>
      </c>
      <c r="H695" t="s">
        <v>99</v>
      </c>
      <c r="I695" t="s">
        <v>15</v>
      </c>
      <c r="J695" t="s">
        <v>26</v>
      </c>
      <c r="L695">
        <v>3</v>
      </c>
      <c r="M695" s="1">
        <v>45525</v>
      </c>
    </row>
    <row r="696" spans="1:13" x14ac:dyDescent="0.35">
      <c r="A696" t="s">
        <v>1165</v>
      </c>
      <c r="B696" t="s">
        <v>872</v>
      </c>
      <c r="C696" t="s">
        <v>117</v>
      </c>
      <c r="D696">
        <v>57</v>
      </c>
      <c r="E696">
        <v>57</v>
      </c>
      <c r="F696">
        <v>0</v>
      </c>
      <c r="G696" t="s">
        <v>14</v>
      </c>
      <c r="H696" t="s">
        <v>58</v>
      </c>
      <c r="I696" t="s">
        <v>105</v>
      </c>
      <c r="J696" t="s">
        <v>20</v>
      </c>
      <c r="K696">
        <v>36071</v>
      </c>
      <c r="L696">
        <v>7</v>
      </c>
      <c r="M696" s="1">
        <v>45577</v>
      </c>
    </row>
    <row r="697" spans="1:13" x14ac:dyDescent="0.35">
      <c r="A697" t="s">
        <v>1166</v>
      </c>
      <c r="B697" t="s">
        <v>421</v>
      </c>
      <c r="C697" t="s">
        <v>69</v>
      </c>
      <c r="D697">
        <v>57</v>
      </c>
      <c r="E697">
        <v>57</v>
      </c>
      <c r="F697">
        <v>0</v>
      </c>
      <c r="G697" t="s">
        <v>25</v>
      </c>
      <c r="H697" t="s">
        <v>58</v>
      </c>
      <c r="I697" t="s">
        <v>2154</v>
      </c>
      <c r="J697" t="s">
        <v>26</v>
      </c>
      <c r="L697">
        <v>4</v>
      </c>
      <c r="M697" s="1">
        <v>45359</v>
      </c>
    </row>
    <row r="698" spans="1:13" x14ac:dyDescent="0.35">
      <c r="A698" t="s">
        <v>1167</v>
      </c>
      <c r="B698" t="s">
        <v>1168</v>
      </c>
      <c r="C698" t="s">
        <v>172</v>
      </c>
      <c r="D698">
        <v>24</v>
      </c>
      <c r="E698">
        <v>24</v>
      </c>
      <c r="F698">
        <v>0</v>
      </c>
      <c r="G698" t="s">
        <v>25</v>
      </c>
      <c r="H698" t="s">
        <v>32</v>
      </c>
      <c r="I698" t="s">
        <v>2154</v>
      </c>
      <c r="J698" t="s">
        <v>37</v>
      </c>
      <c r="K698">
        <v>106744</v>
      </c>
      <c r="L698">
        <v>9</v>
      </c>
      <c r="M698" s="1">
        <v>45401</v>
      </c>
    </row>
    <row r="699" spans="1:13" x14ac:dyDescent="0.35">
      <c r="A699" t="s">
        <v>1169</v>
      </c>
      <c r="B699" t="s">
        <v>243</v>
      </c>
      <c r="C699" t="s">
        <v>45</v>
      </c>
      <c r="D699">
        <v>37</v>
      </c>
      <c r="E699">
        <v>37</v>
      </c>
      <c r="F699">
        <v>0</v>
      </c>
      <c r="G699" t="s">
        <v>14</v>
      </c>
      <c r="H699" t="s">
        <v>19</v>
      </c>
      <c r="I699" t="s">
        <v>15</v>
      </c>
      <c r="J699" t="s">
        <v>16</v>
      </c>
      <c r="L699">
        <v>7</v>
      </c>
      <c r="M699" s="1">
        <v>45293</v>
      </c>
    </row>
    <row r="700" spans="1:13" x14ac:dyDescent="0.35">
      <c r="A700" t="s">
        <v>1170</v>
      </c>
      <c r="B700" t="s">
        <v>104</v>
      </c>
      <c r="C700" t="s">
        <v>172</v>
      </c>
      <c r="D700">
        <v>38</v>
      </c>
      <c r="E700">
        <v>38</v>
      </c>
      <c r="F700">
        <v>0</v>
      </c>
      <c r="G700" t="s">
        <v>25</v>
      </c>
      <c r="H700" t="s">
        <v>32</v>
      </c>
      <c r="I700" t="s">
        <v>15</v>
      </c>
      <c r="J700" t="s">
        <v>20</v>
      </c>
      <c r="K700">
        <v>38754</v>
      </c>
      <c r="L700">
        <v>8</v>
      </c>
      <c r="M700" s="1">
        <v>45591</v>
      </c>
    </row>
    <row r="701" spans="1:13" x14ac:dyDescent="0.35">
      <c r="A701" t="s">
        <v>1171</v>
      </c>
      <c r="B701" t="s">
        <v>815</v>
      </c>
      <c r="C701" t="s">
        <v>154</v>
      </c>
      <c r="D701">
        <v>46</v>
      </c>
      <c r="E701">
        <v>46</v>
      </c>
      <c r="F701">
        <v>0</v>
      </c>
      <c r="G701" t="s">
        <v>25</v>
      </c>
      <c r="H701" t="s">
        <v>32</v>
      </c>
      <c r="I701" t="s">
        <v>15</v>
      </c>
      <c r="J701" t="s">
        <v>26</v>
      </c>
      <c r="L701">
        <v>8</v>
      </c>
      <c r="M701" s="1">
        <v>45459</v>
      </c>
    </row>
    <row r="702" spans="1:13" x14ac:dyDescent="0.35">
      <c r="A702" t="s">
        <v>1172</v>
      </c>
      <c r="B702" t="s">
        <v>1173</v>
      </c>
      <c r="C702" t="s">
        <v>13</v>
      </c>
      <c r="D702">
        <v>34</v>
      </c>
      <c r="F702">
        <v>1</v>
      </c>
      <c r="G702" t="s">
        <v>25</v>
      </c>
      <c r="H702" t="s">
        <v>99</v>
      </c>
      <c r="I702" t="s">
        <v>105</v>
      </c>
      <c r="J702" t="s">
        <v>26</v>
      </c>
      <c r="L702">
        <v>4</v>
      </c>
      <c r="M702" s="1">
        <v>45359</v>
      </c>
    </row>
    <row r="703" spans="1:13" x14ac:dyDescent="0.35">
      <c r="A703" t="s">
        <v>1174</v>
      </c>
      <c r="B703" t="s">
        <v>929</v>
      </c>
      <c r="C703" t="s">
        <v>184</v>
      </c>
      <c r="D703">
        <v>56</v>
      </c>
      <c r="E703">
        <v>56</v>
      </c>
      <c r="F703">
        <v>0</v>
      </c>
      <c r="G703" t="s">
        <v>25</v>
      </c>
      <c r="H703" t="s">
        <v>32</v>
      </c>
      <c r="I703" t="s">
        <v>15</v>
      </c>
      <c r="J703" t="s">
        <v>37</v>
      </c>
      <c r="K703">
        <v>82009</v>
      </c>
      <c r="L703">
        <v>6</v>
      </c>
      <c r="M703" s="1">
        <v>45561</v>
      </c>
    </row>
    <row r="704" spans="1:13" x14ac:dyDescent="0.35">
      <c r="A704" t="s">
        <v>1175</v>
      </c>
      <c r="B704" t="s">
        <v>912</v>
      </c>
      <c r="C704" t="s">
        <v>130</v>
      </c>
      <c r="D704">
        <v>10</v>
      </c>
      <c r="E704">
        <v>10</v>
      </c>
      <c r="F704">
        <v>0</v>
      </c>
      <c r="G704" t="s">
        <v>14</v>
      </c>
      <c r="H704" t="s">
        <v>99</v>
      </c>
      <c r="I704" t="s">
        <v>105</v>
      </c>
      <c r="J704" t="s">
        <v>26</v>
      </c>
      <c r="L704">
        <v>4</v>
      </c>
      <c r="M704" s="1">
        <v>45382</v>
      </c>
    </row>
    <row r="705" spans="1:13" x14ac:dyDescent="0.35">
      <c r="A705" t="s">
        <v>1176</v>
      </c>
      <c r="B705" t="s">
        <v>491</v>
      </c>
      <c r="C705" t="s">
        <v>13</v>
      </c>
      <c r="D705">
        <v>49</v>
      </c>
      <c r="E705">
        <v>49</v>
      </c>
      <c r="F705">
        <v>0</v>
      </c>
      <c r="G705" t="s">
        <v>25</v>
      </c>
      <c r="H705" t="s">
        <v>99</v>
      </c>
      <c r="I705" t="s">
        <v>15</v>
      </c>
      <c r="J705" t="s">
        <v>40</v>
      </c>
      <c r="L705">
        <v>4</v>
      </c>
      <c r="M705" s="1">
        <v>45379</v>
      </c>
    </row>
    <row r="706" spans="1:13" x14ac:dyDescent="0.35">
      <c r="A706" t="s">
        <v>1177</v>
      </c>
      <c r="B706" t="s">
        <v>1178</v>
      </c>
      <c r="C706" t="s">
        <v>184</v>
      </c>
      <c r="D706">
        <v>31</v>
      </c>
      <c r="E706">
        <v>31</v>
      </c>
      <c r="F706">
        <v>0</v>
      </c>
      <c r="G706" t="s">
        <v>25</v>
      </c>
      <c r="H706" t="s">
        <v>58</v>
      </c>
      <c r="I706" t="s">
        <v>15</v>
      </c>
      <c r="J706" t="s">
        <v>40</v>
      </c>
      <c r="L706">
        <v>1</v>
      </c>
      <c r="M706" s="1">
        <v>45582</v>
      </c>
    </row>
    <row r="707" spans="1:13" x14ac:dyDescent="0.35">
      <c r="A707" t="s">
        <v>1179</v>
      </c>
      <c r="B707" t="s">
        <v>1180</v>
      </c>
      <c r="C707" t="s">
        <v>117</v>
      </c>
      <c r="D707">
        <v>43</v>
      </c>
      <c r="E707">
        <v>43</v>
      </c>
      <c r="F707">
        <v>0</v>
      </c>
      <c r="G707" t="s">
        <v>25</v>
      </c>
      <c r="H707" t="s">
        <v>19</v>
      </c>
      <c r="I707" t="s">
        <v>15</v>
      </c>
      <c r="J707" t="s">
        <v>40</v>
      </c>
      <c r="L707">
        <v>1</v>
      </c>
      <c r="M707" s="1">
        <v>45589</v>
      </c>
    </row>
    <row r="708" spans="1:13" x14ac:dyDescent="0.35">
      <c r="A708" t="s">
        <v>1181</v>
      </c>
      <c r="B708" t="s">
        <v>351</v>
      </c>
      <c r="C708" t="s">
        <v>130</v>
      </c>
      <c r="D708">
        <v>28</v>
      </c>
      <c r="E708">
        <v>28</v>
      </c>
      <c r="F708">
        <v>0</v>
      </c>
      <c r="G708" t="s">
        <v>25</v>
      </c>
      <c r="H708" t="s">
        <v>99</v>
      </c>
      <c r="I708" t="s">
        <v>105</v>
      </c>
      <c r="J708" t="s">
        <v>40</v>
      </c>
      <c r="L708">
        <v>5</v>
      </c>
      <c r="M708" s="1">
        <v>45506</v>
      </c>
    </row>
    <row r="709" spans="1:13" x14ac:dyDescent="0.35">
      <c r="A709" t="s">
        <v>1182</v>
      </c>
      <c r="B709" t="s">
        <v>1183</v>
      </c>
      <c r="C709" t="s">
        <v>69</v>
      </c>
      <c r="D709">
        <v>25</v>
      </c>
      <c r="E709">
        <v>25</v>
      </c>
      <c r="F709">
        <v>0</v>
      </c>
      <c r="G709" t="s">
        <v>14</v>
      </c>
      <c r="H709" t="s">
        <v>32</v>
      </c>
      <c r="I709" t="s">
        <v>2153</v>
      </c>
      <c r="J709" t="s">
        <v>37</v>
      </c>
      <c r="K709">
        <v>43237</v>
      </c>
      <c r="L709">
        <v>6</v>
      </c>
      <c r="M709" s="1">
        <v>45563</v>
      </c>
    </row>
    <row r="710" spans="1:13" x14ac:dyDescent="0.35">
      <c r="A710" t="s">
        <v>1184</v>
      </c>
      <c r="B710" t="s">
        <v>772</v>
      </c>
      <c r="C710" t="s">
        <v>13</v>
      </c>
      <c r="D710">
        <v>23</v>
      </c>
      <c r="E710">
        <v>23</v>
      </c>
      <c r="F710">
        <v>0</v>
      </c>
      <c r="G710" t="s">
        <v>25</v>
      </c>
      <c r="H710" t="s">
        <v>58</v>
      </c>
      <c r="I710" t="s">
        <v>105</v>
      </c>
      <c r="J710" t="s">
        <v>16</v>
      </c>
      <c r="L710">
        <v>8</v>
      </c>
      <c r="M710" s="1">
        <v>45431</v>
      </c>
    </row>
    <row r="711" spans="1:13" x14ac:dyDescent="0.35">
      <c r="A711" t="s">
        <v>1185</v>
      </c>
      <c r="B711" t="s">
        <v>1186</v>
      </c>
      <c r="C711" t="s">
        <v>172</v>
      </c>
      <c r="D711">
        <v>30</v>
      </c>
      <c r="E711">
        <v>30</v>
      </c>
      <c r="F711">
        <v>0</v>
      </c>
      <c r="G711" t="s">
        <v>14</v>
      </c>
      <c r="H711" t="s">
        <v>99</v>
      </c>
      <c r="I711" t="s">
        <v>15</v>
      </c>
      <c r="J711" t="s">
        <v>40</v>
      </c>
      <c r="L711">
        <v>1</v>
      </c>
      <c r="M711" s="1">
        <v>45519</v>
      </c>
    </row>
    <row r="712" spans="1:13" x14ac:dyDescent="0.35">
      <c r="A712" t="s">
        <v>1187</v>
      </c>
      <c r="B712" t="s">
        <v>1188</v>
      </c>
      <c r="C712" t="s">
        <v>69</v>
      </c>
      <c r="D712">
        <v>53</v>
      </c>
      <c r="E712">
        <v>53</v>
      </c>
      <c r="F712">
        <v>0</v>
      </c>
      <c r="G712" t="s">
        <v>25</v>
      </c>
      <c r="H712" t="s">
        <v>58</v>
      </c>
      <c r="I712" t="s">
        <v>2153</v>
      </c>
      <c r="J712" t="s">
        <v>26</v>
      </c>
      <c r="L712">
        <v>1</v>
      </c>
      <c r="M712" s="1">
        <v>45351</v>
      </c>
    </row>
    <row r="713" spans="1:13" x14ac:dyDescent="0.35">
      <c r="A713" t="s">
        <v>1189</v>
      </c>
      <c r="B713" t="s">
        <v>1190</v>
      </c>
      <c r="C713" t="s">
        <v>154</v>
      </c>
      <c r="D713">
        <v>22</v>
      </c>
      <c r="E713">
        <v>22</v>
      </c>
      <c r="F713">
        <v>0</v>
      </c>
      <c r="G713" t="s">
        <v>25</v>
      </c>
      <c r="H713" t="s">
        <v>32</v>
      </c>
      <c r="I713" t="s">
        <v>15</v>
      </c>
      <c r="J713" t="s">
        <v>40</v>
      </c>
      <c r="L713">
        <v>6</v>
      </c>
      <c r="M713" s="1">
        <v>45347</v>
      </c>
    </row>
    <row r="714" spans="1:13" x14ac:dyDescent="0.35">
      <c r="A714" t="s">
        <v>1191</v>
      </c>
      <c r="B714" t="s">
        <v>318</v>
      </c>
      <c r="C714" t="s">
        <v>29</v>
      </c>
      <c r="D714">
        <v>23</v>
      </c>
      <c r="E714">
        <v>23</v>
      </c>
      <c r="F714">
        <v>0</v>
      </c>
      <c r="G714" t="s">
        <v>14</v>
      </c>
      <c r="H714" t="s">
        <v>99</v>
      </c>
      <c r="I714" t="s">
        <v>2153</v>
      </c>
      <c r="J714" t="s">
        <v>20</v>
      </c>
      <c r="K714">
        <v>42255</v>
      </c>
      <c r="L714">
        <v>4</v>
      </c>
      <c r="M714" s="1">
        <v>45400</v>
      </c>
    </row>
    <row r="715" spans="1:13" x14ac:dyDescent="0.35">
      <c r="A715" t="s">
        <v>1192</v>
      </c>
      <c r="B715" t="s">
        <v>136</v>
      </c>
      <c r="C715" t="s">
        <v>29</v>
      </c>
      <c r="D715">
        <v>45</v>
      </c>
      <c r="E715">
        <v>45</v>
      </c>
      <c r="F715">
        <v>0</v>
      </c>
      <c r="G715" t="s">
        <v>14</v>
      </c>
      <c r="H715" t="s">
        <v>32</v>
      </c>
      <c r="I715" t="s">
        <v>2153</v>
      </c>
      <c r="J715" t="s">
        <v>40</v>
      </c>
      <c r="L715">
        <v>1</v>
      </c>
      <c r="M715" s="1">
        <v>45368</v>
      </c>
    </row>
    <row r="716" spans="1:13" x14ac:dyDescent="0.35">
      <c r="A716" t="s">
        <v>1193</v>
      </c>
      <c r="B716" t="s">
        <v>1194</v>
      </c>
      <c r="C716" t="s">
        <v>119</v>
      </c>
      <c r="D716">
        <v>47</v>
      </c>
      <c r="E716">
        <v>47</v>
      </c>
      <c r="F716">
        <v>0</v>
      </c>
      <c r="G716" t="s">
        <v>25</v>
      </c>
      <c r="H716" t="s">
        <v>58</v>
      </c>
      <c r="I716" t="s">
        <v>15</v>
      </c>
      <c r="J716" t="s">
        <v>37</v>
      </c>
      <c r="K716">
        <v>60348</v>
      </c>
      <c r="L716">
        <v>8</v>
      </c>
      <c r="M716" s="1">
        <v>45583</v>
      </c>
    </row>
    <row r="717" spans="1:13" x14ac:dyDescent="0.35">
      <c r="A717" t="s">
        <v>1195</v>
      </c>
      <c r="B717" t="s">
        <v>283</v>
      </c>
      <c r="C717" t="s">
        <v>29</v>
      </c>
      <c r="D717">
        <v>26</v>
      </c>
      <c r="E717">
        <v>26</v>
      </c>
      <c r="F717">
        <v>0</v>
      </c>
      <c r="G717" t="s">
        <v>25</v>
      </c>
      <c r="H717" t="s">
        <v>32</v>
      </c>
      <c r="I717" t="s">
        <v>88</v>
      </c>
      <c r="J717" t="s">
        <v>16</v>
      </c>
      <c r="L717">
        <v>5</v>
      </c>
      <c r="M717" s="1">
        <v>45549</v>
      </c>
    </row>
    <row r="718" spans="1:13" x14ac:dyDescent="0.35">
      <c r="A718" t="s">
        <v>1196</v>
      </c>
      <c r="B718" t="s">
        <v>1077</v>
      </c>
      <c r="C718" t="s">
        <v>119</v>
      </c>
      <c r="D718">
        <v>52</v>
      </c>
      <c r="E718">
        <v>52</v>
      </c>
      <c r="F718">
        <v>0</v>
      </c>
      <c r="G718" t="s">
        <v>25</v>
      </c>
      <c r="H718" t="s">
        <v>19</v>
      </c>
      <c r="I718" t="s">
        <v>88</v>
      </c>
      <c r="J718" t="s">
        <v>20</v>
      </c>
      <c r="K718">
        <v>30000</v>
      </c>
      <c r="L718">
        <v>7</v>
      </c>
      <c r="M718" s="1">
        <v>45424</v>
      </c>
    </row>
    <row r="719" spans="1:13" x14ac:dyDescent="0.35">
      <c r="A719" t="s">
        <v>1197</v>
      </c>
      <c r="B719" t="s">
        <v>881</v>
      </c>
      <c r="C719" t="s">
        <v>119</v>
      </c>
      <c r="D719">
        <v>41</v>
      </c>
      <c r="E719">
        <v>41</v>
      </c>
      <c r="F719">
        <v>0</v>
      </c>
      <c r="G719" t="s">
        <v>25</v>
      </c>
      <c r="H719" t="s">
        <v>99</v>
      </c>
      <c r="I719" t="s">
        <v>105</v>
      </c>
      <c r="J719" t="s">
        <v>20</v>
      </c>
      <c r="K719">
        <v>45118</v>
      </c>
      <c r="L719">
        <v>5</v>
      </c>
      <c r="M719" s="1">
        <v>45307</v>
      </c>
    </row>
    <row r="720" spans="1:13" x14ac:dyDescent="0.35">
      <c r="A720" t="s">
        <v>1198</v>
      </c>
      <c r="B720" t="s">
        <v>1199</v>
      </c>
      <c r="C720" t="s">
        <v>45</v>
      </c>
      <c r="D720">
        <v>40</v>
      </c>
      <c r="E720">
        <v>40</v>
      </c>
      <c r="F720">
        <v>0</v>
      </c>
      <c r="G720" t="s">
        <v>14</v>
      </c>
      <c r="H720" t="s">
        <v>32</v>
      </c>
      <c r="I720" t="s">
        <v>15</v>
      </c>
      <c r="J720" t="s">
        <v>16</v>
      </c>
      <c r="L720">
        <v>7</v>
      </c>
      <c r="M720" s="1">
        <v>45295</v>
      </c>
    </row>
    <row r="721" spans="1:13" x14ac:dyDescent="0.35">
      <c r="A721" t="s">
        <v>1200</v>
      </c>
      <c r="B721" t="s">
        <v>467</v>
      </c>
      <c r="C721" t="s">
        <v>69</v>
      </c>
      <c r="D721">
        <v>55</v>
      </c>
      <c r="E721">
        <v>55</v>
      </c>
      <c r="F721">
        <v>0</v>
      </c>
      <c r="G721" t="s">
        <v>14</v>
      </c>
      <c r="H721" t="s">
        <v>58</v>
      </c>
      <c r="I721" t="s">
        <v>2153</v>
      </c>
      <c r="J721" t="s">
        <v>37</v>
      </c>
      <c r="K721">
        <v>34806</v>
      </c>
      <c r="L721">
        <v>2</v>
      </c>
      <c r="M721" s="1">
        <v>45455</v>
      </c>
    </row>
    <row r="722" spans="1:13" x14ac:dyDescent="0.35">
      <c r="A722" t="s">
        <v>1201</v>
      </c>
      <c r="B722" t="s">
        <v>692</v>
      </c>
      <c r="C722" t="s">
        <v>13</v>
      </c>
      <c r="D722">
        <v>27</v>
      </c>
      <c r="E722">
        <v>27</v>
      </c>
      <c r="F722">
        <v>0</v>
      </c>
      <c r="G722" t="s">
        <v>25</v>
      </c>
      <c r="H722" t="s">
        <v>58</v>
      </c>
      <c r="I722" t="s">
        <v>105</v>
      </c>
      <c r="J722" t="s">
        <v>16</v>
      </c>
      <c r="L722">
        <v>6</v>
      </c>
      <c r="M722" s="1">
        <v>45418</v>
      </c>
    </row>
    <row r="723" spans="1:13" x14ac:dyDescent="0.35">
      <c r="A723" t="s">
        <v>1202</v>
      </c>
      <c r="B723" t="s">
        <v>798</v>
      </c>
      <c r="C723" t="s">
        <v>69</v>
      </c>
      <c r="D723">
        <v>32</v>
      </c>
      <c r="E723">
        <v>32</v>
      </c>
      <c r="F723">
        <v>0</v>
      </c>
      <c r="G723" t="s">
        <v>14</v>
      </c>
      <c r="H723" t="s">
        <v>32</v>
      </c>
      <c r="I723" t="s">
        <v>15</v>
      </c>
      <c r="J723" t="s">
        <v>20</v>
      </c>
      <c r="K723">
        <v>30000</v>
      </c>
      <c r="L723">
        <v>7</v>
      </c>
      <c r="M723" s="1">
        <v>45386</v>
      </c>
    </row>
    <row r="724" spans="1:13" x14ac:dyDescent="0.35">
      <c r="A724" t="s">
        <v>1203</v>
      </c>
      <c r="B724" t="s">
        <v>1014</v>
      </c>
      <c r="C724" t="s">
        <v>172</v>
      </c>
      <c r="D724">
        <v>23</v>
      </c>
      <c r="E724">
        <v>23</v>
      </c>
      <c r="F724">
        <v>0</v>
      </c>
      <c r="G724" t="s">
        <v>14</v>
      </c>
      <c r="H724" t="s">
        <v>19</v>
      </c>
      <c r="I724" t="s">
        <v>15</v>
      </c>
      <c r="J724" t="s">
        <v>20</v>
      </c>
      <c r="K724">
        <v>47407</v>
      </c>
      <c r="L724">
        <v>1</v>
      </c>
      <c r="M724" s="1">
        <v>45307</v>
      </c>
    </row>
    <row r="725" spans="1:13" x14ac:dyDescent="0.35">
      <c r="A725" t="s">
        <v>1204</v>
      </c>
      <c r="B725" t="s">
        <v>1205</v>
      </c>
      <c r="C725" t="s">
        <v>130</v>
      </c>
      <c r="D725">
        <v>72</v>
      </c>
      <c r="E725">
        <v>72</v>
      </c>
      <c r="F725">
        <v>0</v>
      </c>
      <c r="G725" t="s">
        <v>25</v>
      </c>
      <c r="H725" t="s">
        <v>58</v>
      </c>
      <c r="I725" t="s">
        <v>15</v>
      </c>
      <c r="J725" t="s">
        <v>16</v>
      </c>
      <c r="L725">
        <v>8</v>
      </c>
      <c r="M725" s="1">
        <v>45452</v>
      </c>
    </row>
    <row r="726" spans="1:13" x14ac:dyDescent="0.35">
      <c r="A726" t="s">
        <v>1206</v>
      </c>
      <c r="B726" t="s">
        <v>1207</v>
      </c>
      <c r="C726" t="s">
        <v>119</v>
      </c>
      <c r="D726">
        <v>38</v>
      </c>
      <c r="E726">
        <v>38</v>
      </c>
      <c r="F726">
        <v>0</v>
      </c>
      <c r="G726" t="s">
        <v>25</v>
      </c>
      <c r="H726" t="s">
        <v>99</v>
      </c>
      <c r="I726" t="s">
        <v>15</v>
      </c>
      <c r="J726" t="s">
        <v>20</v>
      </c>
      <c r="K726">
        <v>38907</v>
      </c>
      <c r="L726">
        <v>2</v>
      </c>
      <c r="M726" s="1">
        <v>45507</v>
      </c>
    </row>
    <row r="727" spans="1:13" x14ac:dyDescent="0.35">
      <c r="A727" t="s">
        <v>1208</v>
      </c>
      <c r="B727" t="s">
        <v>1209</v>
      </c>
      <c r="C727" t="s">
        <v>154</v>
      </c>
      <c r="D727">
        <v>49</v>
      </c>
      <c r="E727">
        <v>49</v>
      </c>
      <c r="F727">
        <v>0</v>
      </c>
      <c r="G727" t="s">
        <v>14</v>
      </c>
      <c r="H727" t="s">
        <v>58</v>
      </c>
      <c r="I727" t="s">
        <v>2153</v>
      </c>
      <c r="J727" t="s">
        <v>37</v>
      </c>
      <c r="K727">
        <v>30000</v>
      </c>
      <c r="L727">
        <v>9</v>
      </c>
      <c r="M727" s="1">
        <v>45582</v>
      </c>
    </row>
    <row r="728" spans="1:13" x14ac:dyDescent="0.35">
      <c r="A728" t="s">
        <v>1210</v>
      </c>
      <c r="B728" t="s">
        <v>1180</v>
      </c>
      <c r="C728" t="s">
        <v>154</v>
      </c>
      <c r="D728">
        <v>25</v>
      </c>
      <c r="E728">
        <v>25</v>
      </c>
      <c r="F728">
        <v>0</v>
      </c>
      <c r="G728" t="s">
        <v>25</v>
      </c>
      <c r="H728" t="s">
        <v>19</v>
      </c>
      <c r="I728" t="s">
        <v>15</v>
      </c>
      <c r="J728" t="s">
        <v>20</v>
      </c>
      <c r="K728">
        <v>61471</v>
      </c>
      <c r="L728">
        <v>5</v>
      </c>
      <c r="M728" s="1">
        <v>45317</v>
      </c>
    </row>
    <row r="729" spans="1:13" x14ac:dyDescent="0.35">
      <c r="A729" t="s">
        <v>1211</v>
      </c>
      <c r="B729" t="s">
        <v>834</v>
      </c>
      <c r="C729" t="s">
        <v>154</v>
      </c>
      <c r="D729">
        <v>50</v>
      </c>
      <c r="E729">
        <v>50</v>
      </c>
      <c r="F729">
        <v>0</v>
      </c>
      <c r="G729" t="s">
        <v>25</v>
      </c>
      <c r="H729" t="s">
        <v>19</v>
      </c>
      <c r="I729" t="s">
        <v>2154</v>
      </c>
      <c r="J729" t="s">
        <v>37</v>
      </c>
      <c r="K729">
        <v>30000</v>
      </c>
      <c r="L729">
        <v>7</v>
      </c>
      <c r="M729" s="1">
        <v>45590</v>
      </c>
    </row>
    <row r="730" spans="1:13" x14ac:dyDescent="0.35">
      <c r="A730" t="s">
        <v>1212</v>
      </c>
      <c r="B730" t="s">
        <v>1213</v>
      </c>
      <c r="C730" t="s">
        <v>69</v>
      </c>
      <c r="D730">
        <v>50</v>
      </c>
      <c r="E730">
        <v>50</v>
      </c>
      <c r="F730">
        <v>0</v>
      </c>
      <c r="G730" t="s">
        <v>14</v>
      </c>
      <c r="H730" t="s">
        <v>32</v>
      </c>
      <c r="I730" t="s">
        <v>88</v>
      </c>
      <c r="J730" t="s">
        <v>37</v>
      </c>
      <c r="K730">
        <v>30000</v>
      </c>
      <c r="L730">
        <v>8</v>
      </c>
      <c r="M730" s="1">
        <v>45577</v>
      </c>
    </row>
    <row r="731" spans="1:13" x14ac:dyDescent="0.35">
      <c r="A731" t="s">
        <v>1214</v>
      </c>
      <c r="B731" t="s">
        <v>1215</v>
      </c>
      <c r="C731" t="s">
        <v>69</v>
      </c>
      <c r="D731">
        <v>30</v>
      </c>
      <c r="E731">
        <v>30</v>
      </c>
      <c r="F731">
        <v>0</v>
      </c>
      <c r="G731" t="s">
        <v>14</v>
      </c>
      <c r="H731" t="s">
        <v>32</v>
      </c>
      <c r="I731" t="s">
        <v>105</v>
      </c>
      <c r="J731" t="s">
        <v>20</v>
      </c>
      <c r="K731">
        <v>31187</v>
      </c>
      <c r="L731">
        <v>5</v>
      </c>
      <c r="M731" s="1">
        <v>45592</v>
      </c>
    </row>
    <row r="732" spans="1:13" x14ac:dyDescent="0.35">
      <c r="A732" t="s">
        <v>1216</v>
      </c>
      <c r="B732" t="s">
        <v>1217</v>
      </c>
      <c r="C732" t="s">
        <v>172</v>
      </c>
      <c r="D732">
        <v>15</v>
      </c>
      <c r="E732">
        <v>15</v>
      </c>
      <c r="F732">
        <v>0</v>
      </c>
      <c r="G732" t="s">
        <v>25</v>
      </c>
      <c r="H732" t="s">
        <v>99</v>
      </c>
      <c r="I732" t="s">
        <v>2153</v>
      </c>
      <c r="J732" t="s">
        <v>37</v>
      </c>
      <c r="K732">
        <v>40106</v>
      </c>
      <c r="L732">
        <v>5</v>
      </c>
      <c r="M732" s="1">
        <v>45411</v>
      </c>
    </row>
    <row r="733" spans="1:13" x14ac:dyDescent="0.35">
      <c r="A733" t="s">
        <v>1218</v>
      </c>
      <c r="B733" t="s">
        <v>1219</v>
      </c>
      <c r="C733" t="s">
        <v>184</v>
      </c>
      <c r="D733">
        <v>44</v>
      </c>
      <c r="E733">
        <v>44</v>
      </c>
      <c r="F733">
        <v>0</v>
      </c>
      <c r="G733" t="s">
        <v>14</v>
      </c>
      <c r="H733" t="s">
        <v>58</v>
      </c>
      <c r="I733" t="s">
        <v>15</v>
      </c>
      <c r="J733" t="s">
        <v>37</v>
      </c>
      <c r="K733">
        <v>65117</v>
      </c>
      <c r="L733">
        <v>5</v>
      </c>
      <c r="M733" s="1">
        <v>45371</v>
      </c>
    </row>
    <row r="734" spans="1:13" x14ac:dyDescent="0.35">
      <c r="A734" t="s">
        <v>1220</v>
      </c>
      <c r="B734" t="s">
        <v>1221</v>
      </c>
      <c r="C734" t="s">
        <v>154</v>
      </c>
      <c r="D734">
        <v>58</v>
      </c>
      <c r="E734">
        <v>58</v>
      </c>
      <c r="F734">
        <v>0</v>
      </c>
      <c r="G734" t="s">
        <v>14</v>
      </c>
      <c r="H734" t="s">
        <v>99</v>
      </c>
      <c r="I734" t="s">
        <v>15</v>
      </c>
      <c r="J734" t="s">
        <v>26</v>
      </c>
      <c r="L734">
        <v>6</v>
      </c>
      <c r="M734" s="1">
        <v>45525</v>
      </c>
    </row>
    <row r="735" spans="1:13" x14ac:dyDescent="0.35">
      <c r="A735" t="s">
        <v>1222</v>
      </c>
      <c r="B735" t="s">
        <v>1223</v>
      </c>
      <c r="C735" t="s">
        <v>29</v>
      </c>
      <c r="D735">
        <v>19</v>
      </c>
      <c r="E735">
        <v>19</v>
      </c>
      <c r="F735">
        <v>0</v>
      </c>
      <c r="G735" t="s">
        <v>14</v>
      </c>
      <c r="H735" t="s">
        <v>32</v>
      </c>
      <c r="I735" t="s">
        <v>105</v>
      </c>
      <c r="J735" t="s">
        <v>16</v>
      </c>
      <c r="L735">
        <v>9</v>
      </c>
      <c r="M735" s="1">
        <v>45493</v>
      </c>
    </row>
    <row r="736" spans="1:13" x14ac:dyDescent="0.35">
      <c r="A736" t="s">
        <v>1224</v>
      </c>
      <c r="B736" t="s">
        <v>1225</v>
      </c>
      <c r="C736" t="s">
        <v>29</v>
      </c>
      <c r="D736">
        <v>31</v>
      </c>
      <c r="E736">
        <v>31</v>
      </c>
      <c r="F736">
        <v>0</v>
      </c>
      <c r="G736" t="s">
        <v>14</v>
      </c>
      <c r="H736" t="s">
        <v>99</v>
      </c>
      <c r="I736" t="s">
        <v>15</v>
      </c>
      <c r="J736" t="s">
        <v>16</v>
      </c>
      <c r="L736">
        <v>9</v>
      </c>
      <c r="M736" s="1">
        <v>45300</v>
      </c>
    </row>
    <row r="737" spans="1:13" x14ac:dyDescent="0.35">
      <c r="A737" t="s">
        <v>1226</v>
      </c>
      <c r="B737" t="s">
        <v>616</v>
      </c>
      <c r="C737" t="s">
        <v>154</v>
      </c>
      <c r="D737">
        <v>28</v>
      </c>
      <c r="E737">
        <v>28</v>
      </c>
      <c r="F737">
        <v>0</v>
      </c>
      <c r="G737" t="s">
        <v>14</v>
      </c>
      <c r="H737" t="s">
        <v>19</v>
      </c>
      <c r="I737" t="s">
        <v>2154</v>
      </c>
      <c r="J737" t="s">
        <v>16</v>
      </c>
      <c r="L737">
        <v>1</v>
      </c>
      <c r="M737" s="1">
        <v>45326</v>
      </c>
    </row>
    <row r="738" spans="1:13" x14ac:dyDescent="0.35">
      <c r="A738" t="s">
        <v>1227</v>
      </c>
      <c r="B738" t="s">
        <v>1228</v>
      </c>
      <c r="C738" t="s">
        <v>172</v>
      </c>
      <c r="D738">
        <v>43</v>
      </c>
      <c r="E738">
        <v>43</v>
      </c>
      <c r="F738">
        <v>0</v>
      </c>
      <c r="G738" t="s">
        <v>14</v>
      </c>
      <c r="H738" t="s">
        <v>32</v>
      </c>
      <c r="I738" t="s">
        <v>2154</v>
      </c>
      <c r="J738" t="s">
        <v>20</v>
      </c>
      <c r="K738">
        <v>30000</v>
      </c>
      <c r="L738">
        <v>4</v>
      </c>
      <c r="M738" s="1">
        <v>45451</v>
      </c>
    </row>
    <row r="739" spans="1:13" x14ac:dyDescent="0.35">
      <c r="A739" t="s">
        <v>1229</v>
      </c>
      <c r="B739" t="s">
        <v>1215</v>
      </c>
      <c r="C739" t="s">
        <v>45</v>
      </c>
      <c r="D739">
        <v>41</v>
      </c>
      <c r="E739">
        <v>41</v>
      </c>
      <c r="F739">
        <v>0</v>
      </c>
      <c r="G739" t="s">
        <v>14</v>
      </c>
      <c r="H739" t="s">
        <v>99</v>
      </c>
      <c r="I739" t="s">
        <v>105</v>
      </c>
      <c r="J739" t="s">
        <v>20</v>
      </c>
      <c r="K739">
        <v>111769</v>
      </c>
      <c r="L739">
        <v>9</v>
      </c>
      <c r="M739" s="1">
        <v>45569</v>
      </c>
    </row>
    <row r="740" spans="1:13" x14ac:dyDescent="0.35">
      <c r="A740" t="s">
        <v>1230</v>
      </c>
      <c r="B740" t="s">
        <v>932</v>
      </c>
      <c r="C740" t="s">
        <v>184</v>
      </c>
      <c r="D740">
        <v>37</v>
      </c>
      <c r="E740">
        <v>37</v>
      </c>
      <c r="F740">
        <v>0</v>
      </c>
      <c r="G740" t="s">
        <v>14</v>
      </c>
      <c r="H740" t="s">
        <v>58</v>
      </c>
      <c r="I740" t="s">
        <v>2153</v>
      </c>
      <c r="J740" t="s">
        <v>16</v>
      </c>
      <c r="L740">
        <v>2</v>
      </c>
      <c r="M740" s="1">
        <v>45537</v>
      </c>
    </row>
    <row r="741" spans="1:13" x14ac:dyDescent="0.35">
      <c r="A741" t="s">
        <v>1231</v>
      </c>
      <c r="B741" t="s">
        <v>112</v>
      </c>
      <c r="C741" t="s">
        <v>117</v>
      </c>
      <c r="D741">
        <v>56</v>
      </c>
      <c r="E741">
        <v>56</v>
      </c>
      <c r="F741">
        <v>0</v>
      </c>
      <c r="G741" t="s">
        <v>25</v>
      </c>
      <c r="H741" t="s">
        <v>19</v>
      </c>
      <c r="I741" t="s">
        <v>15</v>
      </c>
      <c r="J741" t="s">
        <v>26</v>
      </c>
      <c r="L741">
        <v>3</v>
      </c>
      <c r="M741" s="1">
        <v>45395</v>
      </c>
    </row>
    <row r="742" spans="1:13" x14ac:dyDescent="0.35">
      <c r="A742" t="s">
        <v>1232</v>
      </c>
      <c r="B742" t="s">
        <v>807</v>
      </c>
      <c r="C742" t="s">
        <v>69</v>
      </c>
      <c r="D742">
        <v>34</v>
      </c>
      <c r="E742">
        <v>34</v>
      </c>
      <c r="F742">
        <v>0</v>
      </c>
      <c r="G742" t="s">
        <v>25</v>
      </c>
      <c r="H742" t="s">
        <v>19</v>
      </c>
      <c r="I742" t="s">
        <v>88</v>
      </c>
      <c r="J742" t="s">
        <v>26</v>
      </c>
      <c r="L742">
        <v>9</v>
      </c>
      <c r="M742" s="1">
        <v>45458</v>
      </c>
    </row>
    <row r="743" spans="1:13" x14ac:dyDescent="0.35">
      <c r="A743" t="s">
        <v>1233</v>
      </c>
      <c r="B743" t="s">
        <v>1234</v>
      </c>
      <c r="C743" t="s">
        <v>172</v>
      </c>
      <c r="D743">
        <v>30</v>
      </c>
      <c r="E743">
        <v>30</v>
      </c>
      <c r="F743">
        <v>0</v>
      </c>
      <c r="G743" t="s">
        <v>25</v>
      </c>
      <c r="H743" t="s">
        <v>19</v>
      </c>
      <c r="I743" t="s">
        <v>105</v>
      </c>
      <c r="J743" t="s">
        <v>40</v>
      </c>
      <c r="L743">
        <v>1</v>
      </c>
      <c r="M743" s="1">
        <v>45340</v>
      </c>
    </row>
    <row r="744" spans="1:13" x14ac:dyDescent="0.35">
      <c r="A744" t="s">
        <v>1235</v>
      </c>
      <c r="B744" t="s">
        <v>94</v>
      </c>
      <c r="C744" t="s">
        <v>184</v>
      </c>
      <c r="D744">
        <v>28</v>
      </c>
      <c r="E744">
        <v>28</v>
      </c>
      <c r="F744">
        <v>0</v>
      </c>
      <c r="G744" t="s">
        <v>25</v>
      </c>
      <c r="H744" t="s">
        <v>58</v>
      </c>
      <c r="I744" t="s">
        <v>2153</v>
      </c>
      <c r="J744" t="s">
        <v>20</v>
      </c>
      <c r="K744">
        <v>71178</v>
      </c>
      <c r="L744">
        <v>3</v>
      </c>
      <c r="M744" s="1">
        <v>45505</v>
      </c>
    </row>
    <row r="745" spans="1:13" x14ac:dyDescent="0.35">
      <c r="A745" t="s">
        <v>1236</v>
      </c>
      <c r="B745" t="s">
        <v>1221</v>
      </c>
      <c r="C745" t="s">
        <v>172</v>
      </c>
      <c r="D745">
        <v>45</v>
      </c>
      <c r="E745">
        <v>45</v>
      </c>
      <c r="F745">
        <v>0</v>
      </c>
      <c r="G745" t="s">
        <v>14</v>
      </c>
      <c r="H745" t="s">
        <v>19</v>
      </c>
      <c r="I745" t="s">
        <v>15</v>
      </c>
      <c r="J745" t="s">
        <v>40</v>
      </c>
      <c r="L745">
        <v>3</v>
      </c>
      <c r="M745" s="1">
        <v>45525</v>
      </c>
    </row>
    <row r="746" spans="1:13" x14ac:dyDescent="0.35">
      <c r="A746" t="s">
        <v>1237</v>
      </c>
      <c r="B746" t="s">
        <v>237</v>
      </c>
      <c r="C746" t="s">
        <v>184</v>
      </c>
      <c r="D746">
        <v>67</v>
      </c>
      <c r="E746">
        <v>67</v>
      </c>
      <c r="F746">
        <v>0</v>
      </c>
      <c r="G746" t="s">
        <v>25</v>
      </c>
      <c r="H746" t="s">
        <v>19</v>
      </c>
      <c r="I746" t="s">
        <v>88</v>
      </c>
      <c r="J746" t="s">
        <v>37</v>
      </c>
      <c r="K746">
        <v>35084</v>
      </c>
      <c r="L746">
        <v>8</v>
      </c>
      <c r="M746" s="1">
        <v>45573</v>
      </c>
    </row>
    <row r="747" spans="1:13" x14ac:dyDescent="0.35">
      <c r="A747" t="s">
        <v>1238</v>
      </c>
      <c r="B747" t="s">
        <v>1239</v>
      </c>
      <c r="C747" t="s">
        <v>45</v>
      </c>
      <c r="D747">
        <v>34</v>
      </c>
      <c r="E747">
        <v>34</v>
      </c>
      <c r="F747">
        <v>0</v>
      </c>
      <c r="G747" t="s">
        <v>25</v>
      </c>
      <c r="H747" t="s">
        <v>32</v>
      </c>
      <c r="I747" t="s">
        <v>15</v>
      </c>
      <c r="J747" t="s">
        <v>26</v>
      </c>
      <c r="L747">
        <v>8</v>
      </c>
      <c r="M747" s="1">
        <v>45540</v>
      </c>
    </row>
    <row r="748" spans="1:13" x14ac:dyDescent="0.35">
      <c r="A748" t="s">
        <v>1240</v>
      </c>
      <c r="B748" t="s">
        <v>138</v>
      </c>
      <c r="C748" t="s">
        <v>154</v>
      </c>
      <c r="D748">
        <v>41</v>
      </c>
      <c r="E748">
        <v>41</v>
      </c>
      <c r="F748">
        <v>0</v>
      </c>
      <c r="G748" t="s">
        <v>14</v>
      </c>
      <c r="H748" t="s">
        <v>58</v>
      </c>
      <c r="I748" t="s">
        <v>2153</v>
      </c>
      <c r="J748" t="s">
        <v>20</v>
      </c>
      <c r="K748">
        <v>42869</v>
      </c>
      <c r="L748">
        <v>7</v>
      </c>
      <c r="M748" s="1">
        <v>45383</v>
      </c>
    </row>
    <row r="749" spans="1:13" x14ac:dyDescent="0.35">
      <c r="A749" t="s">
        <v>1241</v>
      </c>
      <c r="B749" t="s">
        <v>795</v>
      </c>
      <c r="C749" t="s">
        <v>184</v>
      </c>
      <c r="D749">
        <v>25</v>
      </c>
      <c r="E749">
        <v>25</v>
      </c>
      <c r="F749">
        <v>0</v>
      </c>
      <c r="G749" t="s">
        <v>14</v>
      </c>
      <c r="H749" t="s">
        <v>19</v>
      </c>
      <c r="I749" t="s">
        <v>15</v>
      </c>
      <c r="J749" t="s">
        <v>20</v>
      </c>
      <c r="K749">
        <v>30000</v>
      </c>
      <c r="L749">
        <v>8</v>
      </c>
      <c r="M749" s="1">
        <v>45405</v>
      </c>
    </row>
    <row r="750" spans="1:13" x14ac:dyDescent="0.35">
      <c r="A750" t="s">
        <v>1242</v>
      </c>
      <c r="B750" t="s">
        <v>1124</v>
      </c>
      <c r="C750" t="s">
        <v>130</v>
      </c>
      <c r="D750">
        <v>30</v>
      </c>
      <c r="E750">
        <v>30</v>
      </c>
      <c r="F750">
        <v>0</v>
      </c>
      <c r="G750" t="s">
        <v>14</v>
      </c>
      <c r="H750" t="s">
        <v>99</v>
      </c>
      <c r="I750" t="s">
        <v>15</v>
      </c>
      <c r="J750" t="s">
        <v>20</v>
      </c>
      <c r="K750">
        <v>30000</v>
      </c>
      <c r="L750">
        <v>2</v>
      </c>
      <c r="M750" s="1">
        <v>45523</v>
      </c>
    </row>
    <row r="751" spans="1:13" x14ac:dyDescent="0.35">
      <c r="A751" t="s">
        <v>1243</v>
      </c>
      <c r="B751" t="s">
        <v>1244</v>
      </c>
      <c r="C751" t="s">
        <v>69</v>
      </c>
      <c r="D751">
        <v>43</v>
      </c>
      <c r="E751">
        <v>43</v>
      </c>
      <c r="F751">
        <v>0</v>
      </c>
      <c r="G751" t="s">
        <v>14</v>
      </c>
      <c r="H751" t="s">
        <v>58</v>
      </c>
      <c r="I751" t="s">
        <v>15</v>
      </c>
      <c r="J751" t="s">
        <v>16</v>
      </c>
      <c r="L751">
        <v>8</v>
      </c>
      <c r="M751" s="1">
        <v>45473</v>
      </c>
    </row>
    <row r="752" spans="1:13" x14ac:dyDescent="0.35">
      <c r="A752" t="s">
        <v>2179</v>
      </c>
      <c r="B752" t="s">
        <v>809</v>
      </c>
      <c r="C752" t="s">
        <v>172</v>
      </c>
      <c r="D752">
        <v>39</v>
      </c>
      <c r="E752">
        <v>39</v>
      </c>
      <c r="F752">
        <v>0</v>
      </c>
      <c r="G752" t="s">
        <v>25</v>
      </c>
      <c r="H752" t="s">
        <v>58</v>
      </c>
      <c r="I752" t="s">
        <v>2153</v>
      </c>
      <c r="J752" t="s">
        <v>40</v>
      </c>
      <c r="L752">
        <v>2</v>
      </c>
      <c r="M752" s="1">
        <v>45312</v>
      </c>
    </row>
    <row r="753" spans="1:13" x14ac:dyDescent="0.35">
      <c r="A753" t="s">
        <v>1245</v>
      </c>
      <c r="B753" t="s">
        <v>1077</v>
      </c>
      <c r="C753" t="s">
        <v>172</v>
      </c>
      <c r="D753">
        <v>52</v>
      </c>
      <c r="E753">
        <v>52</v>
      </c>
      <c r="F753">
        <v>0</v>
      </c>
      <c r="G753" t="s">
        <v>25</v>
      </c>
      <c r="H753" t="s">
        <v>58</v>
      </c>
      <c r="I753" t="s">
        <v>15</v>
      </c>
      <c r="J753" t="s">
        <v>20</v>
      </c>
      <c r="K753">
        <v>53371</v>
      </c>
      <c r="L753">
        <v>2</v>
      </c>
      <c r="M753" s="1">
        <v>45457</v>
      </c>
    </row>
    <row r="754" spans="1:13" x14ac:dyDescent="0.35">
      <c r="A754" t="s">
        <v>1246</v>
      </c>
      <c r="B754" t="s">
        <v>1178</v>
      </c>
      <c r="C754" t="s">
        <v>13</v>
      </c>
      <c r="D754">
        <v>61</v>
      </c>
      <c r="E754">
        <v>61</v>
      </c>
      <c r="F754">
        <v>0</v>
      </c>
      <c r="G754" t="s">
        <v>25</v>
      </c>
      <c r="H754" t="s">
        <v>19</v>
      </c>
      <c r="I754" t="s">
        <v>105</v>
      </c>
      <c r="J754" t="s">
        <v>37</v>
      </c>
      <c r="K754">
        <v>69588</v>
      </c>
      <c r="L754">
        <v>1</v>
      </c>
      <c r="M754" s="1">
        <v>45399</v>
      </c>
    </row>
    <row r="755" spans="1:13" x14ac:dyDescent="0.35">
      <c r="A755" t="s">
        <v>1247</v>
      </c>
      <c r="B755" t="s">
        <v>134</v>
      </c>
      <c r="C755" t="s">
        <v>154</v>
      </c>
      <c r="D755">
        <v>62</v>
      </c>
      <c r="E755">
        <v>62</v>
      </c>
      <c r="F755">
        <v>0</v>
      </c>
      <c r="G755" t="s">
        <v>14</v>
      </c>
      <c r="H755" t="s">
        <v>99</v>
      </c>
      <c r="I755" t="s">
        <v>2153</v>
      </c>
      <c r="J755" t="s">
        <v>26</v>
      </c>
      <c r="L755">
        <v>6</v>
      </c>
      <c r="M755" s="1">
        <v>45528</v>
      </c>
    </row>
    <row r="756" spans="1:13" x14ac:dyDescent="0.35">
      <c r="A756" t="s">
        <v>1248</v>
      </c>
      <c r="B756" t="s">
        <v>398</v>
      </c>
      <c r="C756" t="s">
        <v>69</v>
      </c>
      <c r="D756">
        <v>59</v>
      </c>
      <c r="E756">
        <v>59</v>
      </c>
      <c r="F756">
        <v>0</v>
      </c>
      <c r="G756" t="s">
        <v>25</v>
      </c>
      <c r="H756" t="s">
        <v>58</v>
      </c>
      <c r="I756" t="s">
        <v>105</v>
      </c>
      <c r="J756" t="s">
        <v>37</v>
      </c>
      <c r="K756">
        <v>35166</v>
      </c>
      <c r="L756">
        <v>4</v>
      </c>
      <c r="M756" s="1">
        <v>45540</v>
      </c>
    </row>
    <row r="757" spans="1:13" x14ac:dyDescent="0.35">
      <c r="A757" t="s">
        <v>1249</v>
      </c>
      <c r="B757" t="s">
        <v>127</v>
      </c>
      <c r="C757" t="s">
        <v>69</v>
      </c>
      <c r="D757">
        <v>35</v>
      </c>
      <c r="E757">
        <v>35</v>
      </c>
      <c r="F757">
        <v>0</v>
      </c>
      <c r="G757" t="s">
        <v>25</v>
      </c>
      <c r="H757" t="s">
        <v>99</v>
      </c>
      <c r="I757" t="s">
        <v>105</v>
      </c>
      <c r="J757" t="s">
        <v>40</v>
      </c>
      <c r="L757">
        <v>1</v>
      </c>
      <c r="M757" s="1">
        <v>45371</v>
      </c>
    </row>
    <row r="758" spans="1:13" x14ac:dyDescent="0.35">
      <c r="A758" t="s">
        <v>1250</v>
      </c>
      <c r="B758" t="s">
        <v>1251</v>
      </c>
      <c r="C758" t="s">
        <v>172</v>
      </c>
      <c r="D758">
        <v>16</v>
      </c>
      <c r="E758">
        <v>16</v>
      </c>
      <c r="F758">
        <v>0</v>
      </c>
      <c r="G758" t="s">
        <v>14</v>
      </c>
      <c r="H758" t="s">
        <v>19</v>
      </c>
      <c r="I758" t="s">
        <v>15</v>
      </c>
      <c r="J758" t="s">
        <v>37</v>
      </c>
      <c r="K758">
        <v>58781</v>
      </c>
      <c r="L758">
        <v>2</v>
      </c>
      <c r="M758" s="1">
        <v>45476</v>
      </c>
    </row>
    <row r="759" spans="1:13" x14ac:dyDescent="0.35">
      <c r="A759" t="s">
        <v>1252</v>
      </c>
      <c r="B759" t="s">
        <v>225</v>
      </c>
      <c r="C759" t="s">
        <v>13</v>
      </c>
      <c r="D759">
        <v>34</v>
      </c>
      <c r="E759">
        <v>34</v>
      </c>
      <c r="F759">
        <v>0</v>
      </c>
      <c r="G759" t="s">
        <v>14</v>
      </c>
      <c r="H759" t="s">
        <v>99</v>
      </c>
      <c r="I759" t="s">
        <v>88</v>
      </c>
      <c r="J759" t="s">
        <v>37</v>
      </c>
      <c r="K759">
        <v>30023</v>
      </c>
      <c r="L759">
        <v>1</v>
      </c>
      <c r="M759" s="1">
        <v>45417</v>
      </c>
    </row>
    <row r="760" spans="1:13" x14ac:dyDescent="0.35">
      <c r="A760" t="s">
        <v>1253</v>
      </c>
      <c r="B760" t="s">
        <v>1254</v>
      </c>
      <c r="C760" t="s">
        <v>45</v>
      </c>
      <c r="D760">
        <v>41</v>
      </c>
      <c r="E760">
        <v>41</v>
      </c>
      <c r="F760">
        <v>0</v>
      </c>
      <c r="G760" t="s">
        <v>14</v>
      </c>
      <c r="H760" t="s">
        <v>32</v>
      </c>
      <c r="I760" t="s">
        <v>88</v>
      </c>
      <c r="J760" t="s">
        <v>40</v>
      </c>
      <c r="L760">
        <v>4</v>
      </c>
      <c r="M760" s="1">
        <v>45399</v>
      </c>
    </row>
    <row r="761" spans="1:13" x14ac:dyDescent="0.35">
      <c r="A761" t="s">
        <v>1255</v>
      </c>
      <c r="B761" t="s">
        <v>296</v>
      </c>
      <c r="C761" t="s">
        <v>130</v>
      </c>
      <c r="D761">
        <v>45</v>
      </c>
      <c r="E761">
        <v>45</v>
      </c>
      <c r="F761">
        <v>0</v>
      </c>
      <c r="G761" t="s">
        <v>25</v>
      </c>
      <c r="H761" t="s">
        <v>99</v>
      </c>
      <c r="I761" t="s">
        <v>88</v>
      </c>
      <c r="J761" t="s">
        <v>37</v>
      </c>
      <c r="K761">
        <v>54313</v>
      </c>
      <c r="L761">
        <v>5</v>
      </c>
      <c r="M761" s="1">
        <v>45343</v>
      </c>
    </row>
    <row r="762" spans="1:13" x14ac:dyDescent="0.35">
      <c r="A762" t="s">
        <v>1256</v>
      </c>
      <c r="B762" t="s">
        <v>1257</v>
      </c>
      <c r="C762" t="s">
        <v>172</v>
      </c>
      <c r="D762">
        <v>32</v>
      </c>
      <c r="E762">
        <v>32</v>
      </c>
      <c r="F762">
        <v>0</v>
      </c>
      <c r="G762" t="s">
        <v>14</v>
      </c>
      <c r="H762" t="s">
        <v>32</v>
      </c>
      <c r="I762" t="s">
        <v>15</v>
      </c>
      <c r="J762" t="s">
        <v>37</v>
      </c>
      <c r="K762">
        <v>71139</v>
      </c>
      <c r="L762">
        <v>8</v>
      </c>
      <c r="M762" s="1">
        <v>45496</v>
      </c>
    </row>
    <row r="763" spans="1:13" x14ac:dyDescent="0.35">
      <c r="A763" t="s">
        <v>1258</v>
      </c>
      <c r="B763" t="s">
        <v>49</v>
      </c>
      <c r="C763" t="s">
        <v>117</v>
      </c>
      <c r="D763">
        <v>17</v>
      </c>
      <c r="E763">
        <v>17</v>
      </c>
      <c r="F763">
        <v>0</v>
      </c>
      <c r="G763" t="s">
        <v>25</v>
      </c>
      <c r="H763" t="s">
        <v>19</v>
      </c>
      <c r="I763" t="s">
        <v>105</v>
      </c>
      <c r="J763" t="s">
        <v>20</v>
      </c>
      <c r="K763">
        <v>53344</v>
      </c>
      <c r="L763">
        <v>7</v>
      </c>
      <c r="M763" s="1">
        <v>45472</v>
      </c>
    </row>
    <row r="764" spans="1:13" x14ac:dyDescent="0.35">
      <c r="A764" t="s">
        <v>1259</v>
      </c>
      <c r="B764" t="s">
        <v>1260</v>
      </c>
      <c r="C764" t="s">
        <v>130</v>
      </c>
      <c r="D764">
        <v>11</v>
      </c>
      <c r="E764">
        <v>11</v>
      </c>
      <c r="F764">
        <v>0</v>
      </c>
      <c r="G764" t="s">
        <v>14</v>
      </c>
      <c r="H764" t="s">
        <v>99</v>
      </c>
      <c r="I764" t="s">
        <v>105</v>
      </c>
      <c r="J764" t="s">
        <v>26</v>
      </c>
      <c r="L764">
        <v>3</v>
      </c>
      <c r="M764" s="1">
        <v>45438</v>
      </c>
    </row>
    <row r="765" spans="1:13" x14ac:dyDescent="0.35">
      <c r="A765" t="s">
        <v>1261</v>
      </c>
      <c r="B765" t="s">
        <v>28</v>
      </c>
      <c r="C765" t="s">
        <v>69</v>
      </c>
      <c r="D765">
        <v>30</v>
      </c>
      <c r="E765">
        <v>30</v>
      </c>
      <c r="F765">
        <v>0</v>
      </c>
      <c r="G765" t="s">
        <v>25</v>
      </c>
      <c r="H765" t="s">
        <v>99</v>
      </c>
      <c r="I765" t="s">
        <v>15</v>
      </c>
      <c r="J765" t="s">
        <v>20</v>
      </c>
      <c r="K765">
        <v>74438</v>
      </c>
      <c r="L765">
        <v>3</v>
      </c>
      <c r="M765" s="1">
        <v>45554</v>
      </c>
    </row>
    <row r="766" spans="1:13" x14ac:dyDescent="0.35">
      <c r="A766" t="s">
        <v>1262</v>
      </c>
      <c r="B766" t="s">
        <v>1074</v>
      </c>
      <c r="C766" t="s">
        <v>184</v>
      </c>
      <c r="D766">
        <v>34</v>
      </c>
      <c r="E766">
        <v>34</v>
      </c>
      <c r="F766">
        <v>0</v>
      </c>
      <c r="G766" t="s">
        <v>25</v>
      </c>
      <c r="H766" t="s">
        <v>32</v>
      </c>
      <c r="I766" t="s">
        <v>15</v>
      </c>
      <c r="J766" t="s">
        <v>37</v>
      </c>
      <c r="K766">
        <v>134035</v>
      </c>
      <c r="L766">
        <v>7</v>
      </c>
      <c r="M766" s="1">
        <v>45449</v>
      </c>
    </row>
    <row r="767" spans="1:13" x14ac:dyDescent="0.35">
      <c r="A767" t="s">
        <v>1263</v>
      </c>
      <c r="B767" t="s">
        <v>81</v>
      </c>
      <c r="C767" t="s">
        <v>117</v>
      </c>
      <c r="D767">
        <v>19</v>
      </c>
      <c r="E767">
        <v>19</v>
      </c>
      <c r="F767">
        <v>0</v>
      </c>
      <c r="G767" t="s">
        <v>14</v>
      </c>
      <c r="H767" t="s">
        <v>99</v>
      </c>
      <c r="I767" t="s">
        <v>15</v>
      </c>
      <c r="J767" t="s">
        <v>20</v>
      </c>
      <c r="K767">
        <v>45308</v>
      </c>
      <c r="L767">
        <v>4</v>
      </c>
      <c r="M767" s="1">
        <v>45474</v>
      </c>
    </row>
    <row r="768" spans="1:13" x14ac:dyDescent="0.35">
      <c r="A768" t="s">
        <v>1264</v>
      </c>
      <c r="B768" t="s">
        <v>1265</v>
      </c>
      <c r="C768" t="s">
        <v>45</v>
      </c>
      <c r="D768">
        <v>24</v>
      </c>
      <c r="E768">
        <v>24</v>
      </c>
      <c r="F768">
        <v>0</v>
      </c>
      <c r="G768" t="s">
        <v>14</v>
      </c>
      <c r="H768" t="s">
        <v>58</v>
      </c>
      <c r="I768" t="s">
        <v>88</v>
      </c>
      <c r="J768" t="s">
        <v>16</v>
      </c>
      <c r="L768">
        <v>7</v>
      </c>
      <c r="M768" s="1">
        <v>45329</v>
      </c>
    </row>
    <row r="769" spans="1:13" x14ac:dyDescent="0.35">
      <c r="A769" t="s">
        <v>1266</v>
      </c>
      <c r="B769" t="s">
        <v>160</v>
      </c>
      <c r="C769" t="s">
        <v>184</v>
      </c>
      <c r="D769">
        <v>35</v>
      </c>
      <c r="E769">
        <v>35</v>
      </c>
      <c r="F769">
        <v>0</v>
      </c>
      <c r="G769" t="s">
        <v>25</v>
      </c>
      <c r="H769" t="s">
        <v>58</v>
      </c>
      <c r="I769" t="s">
        <v>105</v>
      </c>
      <c r="J769" t="s">
        <v>20</v>
      </c>
      <c r="K769">
        <v>98432</v>
      </c>
      <c r="L769">
        <v>5</v>
      </c>
      <c r="M769" s="1">
        <v>45380</v>
      </c>
    </row>
    <row r="770" spans="1:13" x14ac:dyDescent="0.35">
      <c r="A770" t="s">
        <v>1267</v>
      </c>
      <c r="B770" t="s">
        <v>1134</v>
      </c>
      <c r="C770" t="s">
        <v>130</v>
      </c>
      <c r="D770">
        <v>23</v>
      </c>
      <c r="E770">
        <v>23</v>
      </c>
      <c r="F770">
        <v>0</v>
      </c>
      <c r="G770" t="s">
        <v>25</v>
      </c>
      <c r="H770" t="s">
        <v>32</v>
      </c>
      <c r="I770" t="s">
        <v>88</v>
      </c>
      <c r="J770" t="s">
        <v>40</v>
      </c>
      <c r="L770">
        <v>5</v>
      </c>
      <c r="M770" s="1">
        <v>45494</v>
      </c>
    </row>
    <row r="771" spans="1:13" x14ac:dyDescent="0.35">
      <c r="A771" t="s">
        <v>1268</v>
      </c>
      <c r="B771" t="s">
        <v>843</v>
      </c>
      <c r="C771" t="s">
        <v>13</v>
      </c>
      <c r="D771">
        <v>7</v>
      </c>
      <c r="E771">
        <v>7</v>
      </c>
      <c r="F771">
        <v>0</v>
      </c>
      <c r="G771" t="s">
        <v>25</v>
      </c>
      <c r="H771" t="s">
        <v>99</v>
      </c>
      <c r="I771" t="s">
        <v>15</v>
      </c>
      <c r="J771" t="s">
        <v>26</v>
      </c>
      <c r="L771">
        <v>2</v>
      </c>
      <c r="M771" s="1">
        <v>45495</v>
      </c>
    </row>
    <row r="772" spans="1:13" x14ac:dyDescent="0.35">
      <c r="A772" t="s">
        <v>1269</v>
      </c>
      <c r="B772" t="s">
        <v>1270</v>
      </c>
      <c r="C772" t="s">
        <v>13</v>
      </c>
      <c r="D772">
        <v>17</v>
      </c>
      <c r="E772">
        <v>17</v>
      </c>
      <c r="F772">
        <v>0</v>
      </c>
      <c r="G772" t="s">
        <v>14</v>
      </c>
      <c r="H772" t="s">
        <v>32</v>
      </c>
      <c r="I772" t="s">
        <v>15</v>
      </c>
      <c r="J772" t="s">
        <v>37</v>
      </c>
      <c r="K772">
        <v>30000</v>
      </c>
      <c r="L772">
        <v>4</v>
      </c>
      <c r="M772" s="1">
        <v>45582</v>
      </c>
    </row>
    <row r="773" spans="1:13" x14ac:dyDescent="0.35">
      <c r="A773" t="s">
        <v>1271</v>
      </c>
      <c r="B773" t="s">
        <v>463</v>
      </c>
      <c r="C773" t="s">
        <v>184</v>
      </c>
      <c r="D773">
        <v>36</v>
      </c>
      <c r="E773">
        <v>36</v>
      </c>
      <c r="F773">
        <v>0</v>
      </c>
      <c r="G773" t="s">
        <v>14</v>
      </c>
      <c r="H773" t="s">
        <v>99</v>
      </c>
      <c r="I773" t="s">
        <v>105</v>
      </c>
      <c r="J773" t="s">
        <v>26</v>
      </c>
      <c r="L773">
        <v>3</v>
      </c>
      <c r="M773" s="1">
        <v>45506</v>
      </c>
    </row>
    <row r="774" spans="1:13" x14ac:dyDescent="0.35">
      <c r="A774" t="s">
        <v>1272</v>
      </c>
      <c r="B774" t="s">
        <v>216</v>
      </c>
      <c r="C774" t="s">
        <v>29</v>
      </c>
      <c r="D774">
        <v>24</v>
      </c>
      <c r="E774">
        <v>24</v>
      </c>
      <c r="F774">
        <v>0</v>
      </c>
      <c r="G774" t="s">
        <v>25</v>
      </c>
      <c r="H774" t="s">
        <v>99</v>
      </c>
      <c r="I774" t="s">
        <v>105</v>
      </c>
      <c r="J774" t="s">
        <v>26</v>
      </c>
      <c r="L774">
        <v>8</v>
      </c>
      <c r="M774" s="1">
        <v>45431</v>
      </c>
    </row>
    <row r="775" spans="1:13" x14ac:dyDescent="0.35">
      <c r="A775" t="s">
        <v>1273</v>
      </c>
      <c r="B775" t="s">
        <v>742</v>
      </c>
      <c r="C775" t="s">
        <v>154</v>
      </c>
      <c r="D775">
        <v>39</v>
      </c>
      <c r="E775">
        <v>39</v>
      </c>
      <c r="F775">
        <v>0</v>
      </c>
      <c r="G775" t="s">
        <v>14</v>
      </c>
      <c r="H775" t="s">
        <v>32</v>
      </c>
      <c r="I775" t="s">
        <v>15</v>
      </c>
      <c r="J775" t="s">
        <v>40</v>
      </c>
      <c r="L775">
        <v>1</v>
      </c>
      <c r="M775" s="1">
        <v>45519</v>
      </c>
    </row>
    <row r="776" spans="1:13" x14ac:dyDescent="0.35">
      <c r="A776" t="s">
        <v>1274</v>
      </c>
      <c r="B776" t="s">
        <v>1186</v>
      </c>
      <c r="C776" t="s">
        <v>154</v>
      </c>
      <c r="D776">
        <v>28</v>
      </c>
      <c r="E776">
        <v>28</v>
      </c>
      <c r="F776">
        <v>0</v>
      </c>
      <c r="G776" t="s">
        <v>14</v>
      </c>
      <c r="H776" t="s">
        <v>32</v>
      </c>
      <c r="I776" t="s">
        <v>2154</v>
      </c>
      <c r="J776" t="s">
        <v>16</v>
      </c>
      <c r="L776">
        <v>7</v>
      </c>
      <c r="M776" s="1">
        <v>45304</v>
      </c>
    </row>
    <row r="777" spans="1:13" x14ac:dyDescent="0.35">
      <c r="A777" t="s">
        <v>1275</v>
      </c>
      <c r="B777" t="s">
        <v>1276</v>
      </c>
      <c r="C777" t="s">
        <v>154</v>
      </c>
      <c r="D777">
        <v>6</v>
      </c>
      <c r="E777">
        <v>6</v>
      </c>
      <c r="F777">
        <v>0</v>
      </c>
      <c r="G777" t="s">
        <v>25</v>
      </c>
      <c r="H777" t="s">
        <v>99</v>
      </c>
      <c r="I777" t="s">
        <v>15</v>
      </c>
      <c r="J777" t="s">
        <v>26</v>
      </c>
      <c r="L777">
        <v>5</v>
      </c>
      <c r="M777" s="1">
        <v>45347</v>
      </c>
    </row>
    <row r="778" spans="1:13" x14ac:dyDescent="0.35">
      <c r="A778" t="s">
        <v>1277</v>
      </c>
      <c r="B778" t="s">
        <v>1278</v>
      </c>
      <c r="C778" t="s">
        <v>154</v>
      </c>
      <c r="D778">
        <v>48</v>
      </c>
      <c r="E778">
        <v>48</v>
      </c>
      <c r="F778">
        <v>0</v>
      </c>
      <c r="G778" t="s">
        <v>14</v>
      </c>
      <c r="H778" t="s">
        <v>58</v>
      </c>
      <c r="I778" t="s">
        <v>15</v>
      </c>
      <c r="J778" t="s">
        <v>20</v>
      </c>
      <c r="K778">
        <v>133157</v>
      </c>
      <c r="L778">
        <v>8</v>
      </c>
      <c r="M778" s="1">
        <v>45547</v>
      </c>
    </row>
    <row r="779" spans="1:13" x14ac:dyDescent="0.35">
      <c r="A779" t="s">
        <v>1279</v>
      </c>
      <c r="B779" t="s">
        <v>1280</v>
      </c>
      <c r="C779" t="s">
        <v>172</v>
      </c>
      <c r="D779">
        <v>6</v>
      </c>
      <c r="E779">
        <v>6</v>
      </c>
      <c r="F779">
        <v>0</v>
      </c>
      <c r="G779" t="s">
        <v>25</v>
      </c>
      <c r="H779" t="s">
        <v>99</v>
      </c>
      <c r="I779" t="s">
        <v>15</v>
      </c>
      <c r="J779" t="s">
        <v>26</v>
      </c>
      <c r="L779">
        <v>9</v>
      </c>
      <c r="M779" s="1">
        <v>45401</v>
      </c>
    </row>
    <row r="780" spans="1:13" x14ac:dyDescent="0.35">
      <c r="A780" t="s">
        <v>1281</v>
      </c>
      <c r="B780" t="s">
        <v>912</v>
      </c>
      <c r="C780" t="s">
        <v>45</v>
      </c>
      <c r="D780">
        <v>35</v>
      </c>
      <c r="F780">
        <v>1</v>
      </c>
      <c r="G780" t="s">
        <v>14</v>
      </c>
      <c r="H780" t="s">
        <v>19</v>
      </c>
      <c r="I780" t="s">
        <v>15</v>
      </c>
      <c r="J780" t="s">
        <v>37</v>
      </c>
      <c r="K780">
        <v>35235</v>
      </c>
      <c r="L780">
        <v>3</v>
      </c>
      <c r="M780" s="1">
        <v>45345</v>
      </c>
    </row>
    <row r="781" spans="1:13" x14ac:dyDescent="0.35">
      <c r="A781" t="s">
        <v>1282</v>
      </c>
      <c r="B781" t="s">
        <v>1283</v>
      </c>
      <c r="C781" t="s">
        <v>172</v>
      </c>
      <c r="D781">
        <v>29</v>
      </c>
      <c r="E781">
        <v>29</v>
      </c>
      <c r="F781">
        <v>0</v>
      </c>
      <c r="G781" t="s">
        <v>14</v>
      </c>
      <c r="H781" t="s">
        <v>19</v>
      </c>
      <c r="I781" t="s">
        <v>105</v>
      </c>
      <c r="J781" t="s">
        <v>20</v>
      </c>
      <c r="K781">
        <v>31216</v>
      </c>
      <c r="L781">
        <v>4</v>
      </c>
      <c r="M781" s="1">
        <v>45528</v>
      </c>
    </row>
    <row r="782" spans="1:13" x14ac:dyDescent="0.35">
      <c r="A782" t="s">
        <v>1284</v>
      </c>
      <c r="B782" t="s">
        <v>1285</v>
      </c>
      <c r="C782" t="s">
        <v>119</v>
      </c>
      <c r="D782">
        <v>41</v>
      </c>
      <c r="E782">
        <v>41</v>
      </c>
      <c r="F782">
        <v>0</v>
      </c>
      <c r="G782" t="s">
        <v>25</v>
      </c>
      <c r="H782" t="s">
        <v>58</v>
      </c>
      <c r="I782" t="s">
        <v>88</v>
      </c>
      <c r="J782" t="s">
        <v>20</v>
      </c>
      <c r="K782">
        <v>50954</v>
      </c>
      <c r="L782">
        <v>6</v>
      </c>
      <c r="M782" s="1">
        <v>45304</v>
      </c>
    </row>
    <row r="783" spans="1:13" x14ac:dyDescent="0.35">
      <c r="A783" t="s">
        <v>1286</v>
      </c>
      <c r="B783" t="s">
        <v>1221</v>
      </c>
      <c r="C783" t="s">
        <v>119</v>
      </c>
      <c r="D783">
        <v>30</v>
      </c>
      <c r="E783">
        <v>30</v>
      </c>
      <c r="F783">
        <v>0</v>
      </c>
      <c r="G783" t="s">
        <v>14</v>
      </c>
      <c r="H783" t="s">
        <v>58</v>
      </c>
      <c r="I783" t="s">
        <v>88</v>
      </c>
      <c r="J783" t="s">
        <v>37</v>
      </c>
      <c r="K783">
        <v>30000</v>
      </c>
      <c r="L783">
        <v>7</v>
      </c>
      <c r="M783" s="1">
        <v>45328</v>
      </c>
    </row>
    <row r="784" spans="1:13" x14ac:dyDescent="0.35">
      <c r="A784" t="s">
        <v>1287</v>
      </c>
      <c r="B784" t="s">
        <v>571</v>
      </c>
      <c r="C784" t="s">
        <v>172</v>
      </c>
      <c r="D784">
        <v>30</v>
      </c>
      <c r="E784">
        <v>30</v>
      </c>
      <c r="F784">
        <v>0</v>
      </c>
      <c r="G784" t="s">
        <v>25</v>
      </c>
      <c r="H784" t="s">
        <v>32</v>
      </c>
      <c r="I784" t="s">
        <v>15</v>
      </c>
      <c r="J784" t="s">
        <v>37</v>
      </c>
      <c r="K784">
        <v>41519</v>
      </c>
      <c r="L784">
        <v>5</v>
      </c>
      <c r="M784" s="1">
        <v>45413</v>
      </c>
    </row>
    <row r="785" spans="1:13" x14ac:dyDescent="0.35">
      <c r="A785" t="s">
        <v>1288</v>
      </c>
      <c r="B785" t="s">
        <v>1146</v>
      </c>
      <c r="C785" t="s">
        <v>45</v>
      </c>
      <c r="D785">
        <v>55</v>
      </c>
      <c r="E785">
        <v>55</v>
      </c>
      <c r="F785">
        <v>0</v>
      </c>
      <c r="G785" t="s">
        <v>25</v>
      </c>
      <c r="H785" t="s">
        <v>58</v>
      </c>
      <c r="I785" t="s">
        <v>15</v>
      </c>
      <c r="J785" t="s">
        <v>26</v>
      </c>
      <c r="L785">
        <v>4</v>
      </c>
      <c r="M785" s="1">
        <v>45510</v>
      </c>
    </row>
    <row r="786" spans="1:13" x14ac:dyDescent="0.35">
      <c r="A786" t="s">
        <v>1289</v>
      </c>
      <c r="B786" t="s">
        <v>1168</v>
      </c>
      <c r="C786" t="s">
        <v>69</v>
      </c>
      <c r="D786">
        <v>10</v>
      </c>
      <c r="E786">
        <v>10</v>
      </c>
      <c r="F786">
        <v>0</v>
      </c>
      <c r="G786" t="s">
        <v>25</v>
      </c>
      <c r="H786" t="s">
        <v>99</v>
      </c>
      <c r="I786" t="s">
        <v>105</v>
      </c>
      <c r="J786" t="s">
        <v>26</v>
      </c>
      <c r="L786">
        <v>5</v>
      </c>
      <c r="M786" s="1">
        <v>45399</v>
      </c>
    </row>
    <row r="787" spans="1:13" x14ac:dyDescent="0.35">
      <c r="A787" t="s">
        <v>1290</v>
      </c>
      <c r="B787" t="s">
        <v>1291</v>
      </c>
      <c r="C787" t="s">
        <v>172</v>
      </c>
      <c r="D787">
        <v>68</v>
      </c>
      <c r="E787">
        <v>68</v>
      </c>
      <c r="F787">
        <v>0</v>
      </c>
      <c r="G787" t="s">
        <v>25</v>
      </c>
      <c r="H787" t="s">
        <v>99</v>
      </c>
      <c r="I787" t="s">
        <v>105</v>
      </c>
      <c r="J787" t="s">
        <v>26</v>
      </c>
      <c r="L787">
        <v>4</v>
      </c>
      <c r="M787" s="1">
        <v>45512</v>
      </c>
    </row>
    <row r="788" spans="1:13" x14ac:dyDescent="0.35">
      <c r="A788" t="s">
        <v>1292</v>
      </c>
      <c r="B788" t="s">
        <v>1293</v>
      </c>
      <c r="C788" t="s">
        <v>69</v>
      </c>
      <c r="D788">
        <v>19</v>
      </c>
      <c r="E788">
        <v>19</v>
      </c>
      <c r="F788">
        <v>0</v>
      </c>
      <c r="G788" t="s">
        <v>25</v>
      </c>
      <c r="H788" t="s">
        <v>32</v>
      </c>
      <c r="I788" t="s">
        <v>105</v>
      </c>
      <c r="J788" t="s">
        <v>26</v>
      </c>
      <c r="L788">
        <v>7</v>
      </c>
      <c r="M788" s="1">
        <v>45571</v>
      </c>
    </row>
    <row r="789" spans="1:13" x14ac:dyDescent="0.35">
      <c r="A789" t="s">
        <v>1294</v>
      </c>
      <c r="B789" t="s">
        <v>746</v>
      </c>
      <c r="C789" t="s">
        <v>119</v>
      </c>
      <c r="D789">
        <v>40</v>
      </c>
      <c r="E789">
        <v>40</v>
      </c>
      <c r="F789">
        <v>0</v>
      </c>
      <c r="G789" t="s">
        <v>14</v>
      </c>
      <c r="H789" t="s">
        <v>99</v>
      </c>
      <c r="I789" t="s">
        <v>88</v>
      </c>
      <c r="J789" t="s">
        <v>16</v>
      </c>
      <c r="L789">
        <v>1</v>
      </c>
      <c r="M789" s="1">
        <v>45366</v>
      </c>
    </row>
    <row r="790" spans="1:13" x14ac:dyDescent="0.35">
      <c r="A790" t="s">
        <v>1295</v>
      </c>
      <c r="B790" t="s">
        <v>985</v>
      </c>
      <c r="C790" t="s">
        <v>130</v>
      </c>
      <c r="D790">
        <v>7</v>
      </c>
      <c r="E790">
        <v>7</v>
      </c>
      <c r="F790">
        <v>0</v>
      </c>
      <c r="G790" t="s">
        <v>14</v>
      </c>
      <c r="H790" t="s">
        <v>99</v>
      </c>
      <c r="I790" t="s">
        <v>15</v>
      </c>
      <c r="J790" t="s">
        <v>26</v>
      </c>
      <c r="L790">
        <v>3</v>
      </c>
      <c r="M790" s="1">
        <v>45471</v>
      </c>
    </row>
    <row r="791" spans="1:13" x14ac:dyDescent="0.35">
      <c r="A791" t="s">
        <v>1296</v>
      </c>
      <c r="B791" t="s">
        <v>387</v>
      </c>
      <c r="C791" t="s">
        <v>13</v>
      </c>
      <c r="D791">
        <v>43</v>
      </c>
      <c r="E791">
        <v>43</v>
      </c>
      <c r="F791">
        <v>0</v>
      </c>
      <c r="G791" t="s">
        <v>14</v>
      </c>
      <c r="H791" t="s">
        <v>99</v>
      </c>
      <c r="I791" t="s">
        <v>15</v>
      </c>
      <c r="J791" t="s">
        <v>37</v>
      </c>
      <c r="K791">
        <v>30000</v>
      </c>
      <c r="L791">
        <v>9</v>
      </c>
      <c r="M791" s="1">
        <v>45523</v>
      </c>
    </row>
    <row r="792" spans="1:13" x14ac:dyDescent="0.35">
      <c r="A792" t="s">
        <v>1297</v>
      </c>
      <c r="B792" t="s">
        <v>1144</v>
      </c>
      <c r="C792" t="s">
        <v>172</v>
      </c>
      <c r="D792">
        <v>27</v>
      </c>
      <c r="E792">
        <v>27</v>
      </c>
      <c r="F792">
        <v>0</v>
      </c>
      <c r="G792" t="s">
        <v>14</v>
      </c>
      <c r="H792" t="s">
        <v>99</v>
      </c>
      <c r="I792" t="s">
        <v>15</v>
      </c>
      <c r="J792" t="s">
        <v>16</v>
      </c>
      <c r="L792">
        <v>8</v>
      </c>
      <c r="M792" s="1">
        <v>45348</v>
      </c>
    </row>
    <row r="793" spans="1:13" x14ac:dyDescent="0.35">
      <c r="A793" t="s">
        <v>1298</v>
      </c>
      <c r="B793" t="s">
        <v>428</v>
      </c>
      <c r="C793" t="s">
        <v>29</v>
      </c>
      <c r="D793">
        <v>38</v>
      </c>
      <c r="E793">
        <v>38</v>
      </c>
      <c r="F793">
        <v>0</v>
      </c>
      <c r="G793" t="s">
        <v>25</v>
      </c>
      <c r="H793" t="s">
        <v>19</v>
      </c>
      <c r="I793" t="s">
        <v>88</v>
      </c>
      <c r="J793" t="s">
        <v>40</v>
      </c>
      <c r="L793">
        <v>2</v>
      </c>
      <c r="M793" s="1">
        <v>45502</v>
      </c>
    </row>
    <row r="794" spans="1:13" x14ac:dyDescent="0.35">
      <c r="A794" t="s">
        <v>1299</v>
      </c>
      <c r="B794" t="s">
        <v>920</v>
      </c>
      <c r="C794" t="s">
        <v>184</v>
      </c>
      <c r="D794">
        <v>35</v>
      </c>
      <c r="E794">
        <v>35</v>
      </c>
      <c r="F794">
        <v>0</v>
      </c>
      <c r="G794" t="s">
        <v>25</v>
      </c>
      <c r="H794" t="s">
        <v>99</v>
      </c>
      <c r="I794" t="s">
        <v>88</v>
      </c>
      <c r="J794" t="s">
        <v>37</v>
      </c>
      <c r="K794">
        <v>30000</v>
      </c>
      <c r="L794">
        <v>5</v>
      </c>
      <c r="M794" s="1">
        <v>45579</v>
      </c>
    </row>
    <row r="795" spans="1:13" x14ac:dyDescent="0.35">
      <c r="A795" t="s">
        <v>1300</v>
      </c>
      <c r="B795" t="s">
        <v>881</v>
      </c>
      <c r="C795" t="s">
        <v>184</v>
      </c>
      <c r="D795">
        <v>51</v>
      </c>
      <c r="E795">
        <v>51</v>
      </c>
      <c r="F795">
        <v>0</v>
      </c>
      <c r="G795" t="s">
        <v>25</v>
      </c>
      <c r="H795" t="s">
        <v>58</v>
      </c>
      <c r="I795" t="s">
        <v>15</v>
      </c>
      <c r="J795" t="s">
        <v>26</v>
      </c>
      <c r="L795">
        <v>7</v>
      </c>
      <c r="M795" s="1">
        <v>45339</v>
      </c>
    </row>
    <row r="796" spans="1:13" x14ac:dyDescent="0.35">
      <c r="A796" t="s">
        <v>1301</v>
      </c>
      <c r="B796" t="s">
        <v>1302</v>
      </c>
      <c r="C796" t="s">
        <v>29</v>
      </c>
      <c r="D796">
        <v>37</v>
      </c>
      <c r="E796">
        <v>37</v>
      </c>
      <c r="F796">
        <v>0</v>
      </c>
      <c r="G796" t="s">
        <v>25</v>
      </c>
      <c r="H796" t="s">
        <v>32</v>
      </c>
      <c r="I796" t="s">
        <v>2154</v>
      </c>
      <c r="J796" t="s">
        <v>40</v>
      </c>
      <c r="L796">
        <v>1</v>
      </c>
      <c r="M796" s="1">
        <v>45299</v>
      </c>
    </row>
    <row r="797" spans="1:13" x14ac:dyDescent="0.35">
      <c r="A797" t="s">
        <v>1303</v>
      </c>
      <c r="B797" t="s">
        <v>151</v>
      </c>
      <c r="C797" t="s">
        <v>130</v>
      </c>
      <c r="D797">
        <v>31</v>
      </c>
      <c r="E797">
        <v>31</v>
      </c>
      <c r="F797">
        <v>0</v>
      </c>
      <c r="G797" t="s">
        <v>25</v>
      </c>
      <c r="H797" t="s">
        <v>19</v>
      </c>
      <c r="I797" t="s">
        <v>15</v>
      </c>
      <c r="J797" t="s">
        <v>20</v>
      </c>
      <c r="K797">
        <v>87406</v>
      </c>
      <c r="L797">
        <v>7</v>
      </c>
      <c r="M797" s="1">
        <v>45514</v>
      </c>
    </row>
    <row r="798" spans="1:13" x14ac:dyDescent="0.35">
      <c r="A798" t="s">
        <v>1304</v>
      </c>
      <c r="B798" t="s">
        <v>477</v>
      </c>
      <c r="C798" t="s">
        <v>172</v>
      </c>
      <c r="D798">
        <v>30</v>
      </c>
      <c r="E798">
        <v>30</v>
      </c>
      <c r="F798">
        <v>0</v>
      </c>
      <c r="G798" t="s">
        <v>25</v>
      </c>
      <c r="H798" t="s">
        <v>99</v>
      </c>
      <c r="I798" t="s">
        <v>15</v>
      </c>
      <c r="J798" t="s">
        <v>16</v>
      </c>
      <c r="L798">
        <v>1</v>
      </c>
      <c r="M798" s="1">
        <v>45572</v>
      </c>
    </row>
    <row r="799" spans="1:13" x14ac:dyDescent="0.35">
      <c r="A799" t="s">
        <v>1305</v>
      </c>
      <c r="B799" t="s">
        <v>616</v>
      </c>
      <c r="C799" t="s">
        <v>119</v>
      </c>
      <c r="D799">
        <v>21</v>
      </c>
      <c r="E799">
        <v>21</v>
      </c>
      <c r="F799">
        <v>0</v>
      </c>
      <c r="G799" t="s">
        <v>14</v>
      </c>
      <c r="H799" t="s">
        <v>58</v>
      </c>
      <c r="I799" t="s">
        <v>88</v>
      </c>
      <c r="J799" t="s">
        <v>20</v>
      </c>
      <c r="K799">
        <v>120043</v>
      </c>
      <c r="L799">
        <v>6</v>
      </c>
      <c r="M799" s="1">
        <v>45536</v>
      </c>
    </row>
    <row r="800" spans="1:13" x14ac:dyDescent="0.35">
      <c r="A800" t="s">
        <v>1306</v>
      </c>
      <c r="B800" t="s">
        <v>1307</v>
      </c>
      <c r="C800" t="s">
        <v>154</v>
      </c>
      <c r="D800">
        <v>25</v>
      </c>
      <c r="E800">
        <v>25</v>
      </c>
      <c r="F800">
        <v>0</v>
      </c>
      <c r="G800" t="s">
        <v>25</v>
      </c>
      <c r="H800" t="s">
        <v>99</v>
      </c>
      <c r="I800" t="s">
        <v>15</v>
      </c>
      <c r="J800" t="s">
        <v>16</v>
      </c>
      <c r="L800">
        <v>6</v>
      </c>
      <c r="M800" s="1">
        <v>45605</v>
      </c>
    </row>
    <row r="801" spans="1:13" x14ac:dyDescent="0.35">
      <c r="A801" t="s">
        <v>1308</v>
      </c>
      <c r="B801" t="s">
        <v>1244</v>
      </c>
      <c r="C801" t="s">
        <v>29</v>
      </c>
      <c r="D801">
        <v>48</v>
      </c>
      <c r="E801">
        <v>48</v>
      </c>
      <c r="F801">
        <v>0</v>
      </c>
      <c r="G801" t="s">
        <v>14</v>
      </c>
      <c r="H801" t="s">
        <v>58</v>
      </c>
      <c r="I801" t="s">
        <v>88</v>
      </c>
      <c r="J801" t="s">
        <v>16</v>
      </c>
      <c r="L801">
        <v>6</v>
      </c>
      <c r="M801" s="1">
        <v>45462</v>
      </c>
    </row>
    <row r="802" spans="1:13" x14ac:dyDescent="0.35">
      <c r="A802" t="s">
        <v>1309</v>
      </c>
      <c r="B802" t="s">
        <v>1310</v>
      </c>
      <c r="C802" t="s">
        <v>154</v>
      </c>
      <c r="D802">
        <v>48</v>
      </c>
      <c r="E802">
        <v>48</v>
      </c>
      <c r="F802">
        <v>0</v>
      </c>
      <c r="G802" t="s">
        <v>25</v>
      </c>
      <c r="H802" t="s">
        <v>58</v>
      </c>
      <c r="I802" t="s">
        <v>88</v>
      </c>
      <c r="J802" t="s">
        <v>40</v>
      </c>
      <c r="L802">
        <v>9</v>
      </c>
      <c r="M802" s="1">
        <v>45438</v>
      </c>
    </row>
    <row r="803" spans="1:13" x14ac:dyDescent="0.35">
      <c r="A803" t="s">
        <v>1311</v>
      </c>
      <c r="B803" t="s">
        <v>302</v>
      </c>
      <c r="C803" t="s">
        <v>154</v>
      </c>
      <c r="D803">
        <v>15</v>
      </c>
      <c r="E803">
        <v>15</v>
      </c>
      <c r="F803">
        <v>0</v>
      </c>
      <c r="G803" t="s">
        <v>25</v>
      </c>
      <c r="H803" t="s">
        <v>32</v>
      </c>
      <c r="I803" t="s">
        <v>15</v>
      </c>
      <c r="J803" t="s">
        <v>37</v>
      </c>
      <c r="K803">
        <v>56188</v>
      </c>
      <c r="L803">
        <v>7</v>
      </c>
      <c r="M803" s="1">
        <v>45520</v>
      </c>
    </row>
    <row r="804" spans="1:13" x14ac:dyDescent="0.35">
      <c r="A804" t="s">
        <v>1312</v>
      </c>
      <c r="B804" t="s">
        <v>1313</v>
      </c>
      <c r="C804" t="s">
        <v>13</v>
      </c>
      <c r="D804">
        <v>27</v>
      </c>
      <c r="E804">
        <v>27</v>
      </c>
      <c r="F804">
        <v>0</v>
      </c>
      <c r="G804" t="s">
        <v>25</v>
      </c>
      <c r="H804" t="s">
        <v>19</v>
      </c>
      <c r="I804" t="s">
        <v>15</v>
      </c>
      <c r="J804" t="s">
        <v>16</v>
      </c>
      <c r="L804">
        <v>1</v>
      </c>
      <c r="M804" s="1">
        <v>45578</v>
      </c>
    </row>
    <row r="805" spans="1:13" x14ac:dyDescent="0.35">
      <c r="A805" t="s">
        <v>1314</v>
      </c>
      <c r="B805" t="s">
        <v>351</v>
      </c>
      <c r="C805" t="s">
        <v>154</v>
      </c>
      <c r="D805">
        <v>38</v>
      </c>
      <c r="E805">
        <v>38</v>
      </c>
      <c r="F805">
        <v>0</v>
      </c>
      <c r="G805" t="s">
        <v>25</v>
      </c>
      <c r="H805" t="s">
        <v>32</v>
      </c>
      <c r="I805" t="s">
        <v>105</v>
      </c>
      <c r="J805" t="s">
        <v>40</v>
      </c>
      <c r="L805">
        <v>1</v>
      </c>
      <c r="M805" s="1">
        <v>45317</v>
      </c>
    </row>
    <row r="806" spans="1:13" x14ac:dyDescent="0.35">
      <c r="A806" t="s">
        <v>1315</v>
      </c>
      <c r="B806" t="s">
        <v>1316</v>
      </c>
      <c r="C806" t="s">
        <v>130</v>
      </c>
      <c r="D806">
        <v>45</v>
      </c>
      <c r="E806">
        <v>45</v>
      </c>
      <c r="F806">
        <v>0</v>
      </c>
      <c r="G806" t="s">
        <v>25</v>
      </c>
      <c r="H806" t="s">
        <v>58</v>
      </c>
      <c r="I806" t="s">
        <v>88</v>
      </c>
      <c r="J806" t="s">
        <v>16</v>
      </c>
      <c r="L806">
        <v>2</v>
      </c>
      <c r="M806" s="1">
        <v>45531</v>
      </c>
    </row>
    <row r="807" spans="1:13" x14ac:dyDescent="0.35">
      <c r="A807" t="s">
        <v>1317</v>
      </c>
      <c r="B807" t="s">
        <v>391</v>
      </c>
      <c r="C807" t="s">
        <v>130</v>
      </c>
      <c r="D807">
        <v>51</v>
      </c>
      <c r="E807">
        <v>51</v>
      </c>
      <c r="F807">
        <v>0</v>
      </c>
      <c r="G807" t="s">
        <v>25</v>
      </c>
      <c r="H807" t="s">
        <v>99</v>
      </c>
      <c r="I807" t="s">
        <v>105</v>
      </c>
      <c r="J807" t="s">
        <v>16</v>
      </c>
      <c r="L807">
        <v>2</v>
      </c>
      <c r="M807" s="1">
        <v>45428</v>
      </c>
    </row>
    <row r="808" spans="1:13" x14ac:dyDescent="0.35">
      <c r="A808" t="s">
        <v>1318</v>
      </c>
      <c r="B808" t="s">
        <v>1319</v>
      </c>
      <c r="C808" t="s">
        <v>45</v>
      </c>
      <c r="D808">
        <v>26</v>
      </c>
      <c r="E808">
        <v>26</v>
      </c>
      <c r="F808">
        <v>0</v>
      </c>
      <c r="G808" t="s">
        <v>25</v>
      </c>
      <c r="H808" t="s">
        <v>99</v>
      </c>
      <c r="I808" t="s">
        <v>105</v>
      </c>
      <c r="J808" t="s">
        <v>20</v>
      </c>
      <c r="K808">
        <v>82837</v>
      </c>
      <c r="L808">
        <v>3</v>
      </c>
      <c r="M808" s="1">
        <v>45325</v>
      </c>
    </row>
    <row r="809" spans="1:13" x14ac:dyDescent="0.35">
      <c r="A809" t="s">
        <v>1320</v>
      </c>
      <c r="B809" t="s">
        <v>578</v>
      </c>
      <c r="C809" t="s">
        <v>119</v>
      </c>
      <c r="D809">
        <v>38</v>
      </c>
      <c r="E809">
        <v>38</v>
      </c>
      <c r="F809">
        <v>0</v>
      </c>
      <c r="G809" t="s">
        <v>25</v>
      </c>
      <c r="H809" t="s">
        <v>19</v>
      </c>
      <c r="I809" t="s">
        <v>2153</v>
      </c>
      <c r="J809" t="s">
        <v>20</v>
      </c>
      <c r="K809">
        <v>30000</v>
      </c>
      <c r="L809">
        <v>1</v>
      </c>
      <c r="M809" s="1">
        <v>45354</v>
      </c>
    </row>
    <row r="810" spans="1:13" x14ac:dyDescent="0.35">
      <c r="A810" t="s">
        <v>1321</v>
      </c>
      <c r="B810" t="s">
        <v>872</v>
      </c>
      <c r="C810" t="s">
        <v>130</v>
      </c>
      <c r="D810">
        <v>45</v>
      </c>
      <c r="E810">
        <v>45</v>
      </c>
      <c r="F810">
        <v>0</v>
      </c>
      <c r="G810" t="s">
        <v>14</v>
      </c>
      <c r="H810" t="s">
        <v>19</v>
      </c>
      <c r="I810" t="s">
        <v>105</v>
      </c>
      <c r="J810" t="s">
        <v>16</v>
      </c>
      <c r="L810">
        <v>2</v>
      </c>
      <c r="M810" s="1">
        <v>45292</v>
      </c>
    </row>
    <row r="811" spans="1:13" x14ac:dyDescent="0.35">
      <c r="A811" t="s">
        <v>1322</v>
      </c>
      <c r="B811" t="s">
        <v>383</v>
      </c>
      <c r="C811" t="s">
        <v>29</v>
      </c>
      <c r="D811">
        <v>1</v>
      </c>
      <c r="E811">
        <v>1</v>
      </c>
      <c r="F811">
        <v>0</v>
      </c>
      <c r="G811" t="s">
        <v>14</v>
      </c>
      <c r="H811" t="s">
        <v>99</v>
      </c>
      <c r="I811" t="s">
        <v>2153</v>
      </c>
      <c r="J811" t="s">
        <v>26</v>
      </c>
      <c r="L811">
        <v>7</v>
      </c>
      <c r="M811" s="1">
        <v>45480</v>
      </c>
    </row>
    <row r="812" spans="1:13" x14ac:dyDescent="0.35">
      <c r="A812" t="s">
        <v>1323</v>
      </c>
      <c r="B812" t="s">
        <v>1134</v>
      </c>
      <c r="C812" t="s">
        <v>119</v>
      </c>
      <c r="D812">
        <v>24</v>
      </c>
      <c r="E812">
        <v>24</v>
      </c>
      <c r="F812">
        <v>0</v>
      </c>
      <c r="G812" t="s">
        <v>25</v>
      </c>
      <c r="H812" t="s">
        <v>58</v>
      </c>
      <c r="I812" t="s">
        <v>2153</v>
      </c>
      <c r="J812" t="s">
        <v>16</v>
      </c>
      <c r="L812">
        <v>5</v>
      </c>
      <c r="M812" s="1">
        <v>45581</v>
      </c>
    </row>
    <row r="813" spans="1:13" x14ac:dyDescent="0.35">
      <c r="A813" t="s">
        <v>1324</v>
      </c>
      <c r="B813" t="s">
        <v>253</v>
      </c>
      <c r="C813" t="s">
        <v>45</v>
      </c>
      <c r="D813">
        <v>39</v>
      </c>
      <c r="E813">
        <v>39</v>
      </c>
      <c r="F813">
        <v>0</v>
      </c>
      <c r="G813" t="s">
        <v>25</v>
      </c>
      <c r="H813" t="s">
        <v>58</v>
      </c>
      <c r="I813" t="s">
        <v>15</v>
      </c>
      <c r="J813" t="s">
        <v>37</v>
      </c>
      <c r="K813">
        <v>93161</v>
      </c>
      <c r="L813">
        <v>3</v>
      </c>
      <c r="M813" s="1">
        <v>45496</v>
      </c>
    </row>
    <row r="814" spans="1:13" x14ac:dyDescent="0.35">
      <c r="A814" t="s">
        <v>1325</v>
      </c>
      <c r="B814" t="s">
        <v>277</v>
      </c>
      <c r="C814" t="s">
        <v>119</v>
      </c>
      <c r="D814">
        <v>42</v>
      </c>
      <c r="E814">
        <v>42</v>
      </c>
      <c r="F814">
        <v>0</v>
      </c>
      <c r="G814" t="s">
        <v>14</v>
      </c>
      <c r="H814" t="s">
        <v>58</v>
      </c>
      <c r="I814" t="s">
        <v>2154</v>
      </c>
      <c r="J814" t="s">
        <v>16</v>
      </c>
      <c r="L814">
        <v>3</v>
      </c>
      <c r="M814" s="1">
        <v>45537</v>
      </c>
    </row>
    <row r="815" spans="1:13" x14ac:dyDescent="0.35">
      <c r="A815" t="s">
        <v>1326</v>
      </c>
      <c r="B815" t="s">
        <v>1327</v>
      </c>
      <c r="C815" t="s">
        <v>154</v>
      </c>
      <c r="D815">
        <v>61</v>
      </c>
      <c r="E815">
        <v>61</v>
      </c>
      <c r="F815">
        <v>0</v>
      </c>
      <c r="G815" t="s">
        <v>25</v>
      </c>
      <c r="H815" t="s">
        <v>58</v>
      </c>
      <c r="I815" t="s">
        <v>2154</v>
      </c>
      <c r="J815" t="s">
        <v>26</v>
      </c>
      <c r="L815">
        <v>7</v>
      </c>
      <c r="M815" s="1">
        <v>45555</v>
      </c>
    </row>
    <row r="816" spans="1:13" x14ac:dyDescent="0.35">
      <c r="A816" t="s">
        <v>1328</v>
      </c>
      <c r="B816" t="s">
        <v>1329</v>
      </c>
      <c r="C816" t="s">
        <v>184</v>
      </c>
      <c r="D816">
        <v>48</v>
      </c>
      <c r="E816">
        <v>48</v>
      </c>
      <c r="F816">
        <v>0</v>
      </c>
      <c r="G816" t="s">
        <v>25</v>
      </c>
      <c r="H816" t="s">
        <v>19</v>
      </c>
      <c r="I816" t="s">
        <v>105</v>
      </c>
      <c r="J816" t="s">
        <v>37</v>
      </c>
      <c r="K816">
        <v>32169</v>
      </c>
      <c r="L816">
        <v>8</v>
      </c>
      <c r="M816" s="1">
        <v>45568</v>
      </c>
    </row>
    <row r="817" spans="1:13" x14ac:dyDescent="0.35">
      <c r="A817" t="s">
        <v>1330</v>
      </c>
      <c r="B817" t="s">
        <v>1331</v>
      </c>
      <c r="C817" t="s">
        <v>130</v>
      </c>
      <c r="D817">
        <v>39</v>
      </c>
      <c r="E817">
        <v>39</v>
      </c>
      <c r="F817">
        <v>0</v>
      </c>
      <c r="G817" t="s">
        <v>14</v>
      </c>
      <c r="H817" t="s">
        <v>32</v>
      </c>
      <c r="I817" t="s">
        <v>15</v>
      </c>
      <c r="J817" t="s">
        <v>37</v>
      </c>
      <c r="K817">
        <v>218775</v>
      </c>
      <c r="L817">
        <v>6</v>
      </c>
      <c r="M817" s="1">
        <v>45532</v>
      </c>
    </row>
    <row r="818" spans="1:13" x14ac:dyDescent="0.35">
      <c r="A818" t="s">
        <v>1332</v>
      </c>
      <c r="B818" t="s">
        <v>1021</v>
      </c>
      <c r="C818" t="s">
        <v>117</v>
      </c>
      <c r="D818">
        <v>72</v>
      </c>
      <c r="E818">
        <v>72</v>
      </c>
      <c r="F818">
        <v>0</v>
      </c>
      <c r="G818" t="s">
        <v>14</v>
      </c>
      <c r="H818" t="s">
        <v>19</v>
      </c>
      <c r="I818" t="s">
        <v>15</v>
      </c>
      <c r="J818" t="s">
        <v>16</v>
      </c>
      <c r="L818">
        <v>9</v>
      </c>
      <c r="M818" s="1">
        <v>45318</v>
      </c>
    </row>
    <row r="819" spans="1:13" x14ac:dyDescent="0.35">
      <c r="A819" t="s">
        <v>1333</v>
      </c>
      <c r="B819" t="s">
        <v>1146</v>
      </c>
      <c r="C819" t="s">
        <v>154</v>
      </c>
      <c r="D819">
        <v>18</v>
      </c>
      <c r="E819">
        <v>18</v>
      </c>
      <c r="F819">
        <v>0</v>
      </c>
      <c r="G819" t="s">
        <v>25</v>
      </c>
      <c r="H819" t="s">
        <v>58</v>
      </c>
      <c r="I819" t="s">
        <v>15</v>
      </c>
      <c r="J819" t="s">
        <v>20</v>
      </c>
      <c r="K819">
        <v>41412</v>
      </c>
      <c r="L819">
        <v>9</v>
      </c>
      <c r="M819" s="1">
        <v>45377</v>
      </c>
    </row>
    <row r="820" spans="1:13" x14ac:dyDescent="0.35">
      <c r="A820" t="s">
        <v>1334</v>
      </c>
      <c r="B820" t="s">
        <v>73</v>
      </c>
      <c r="C820" t="s">
        <v>45</v>
      </c>
      <c r="D820">
        <v>38</v>
      </c>
      <c r="E820">
        <v>38</v>
      </c>
      <c r="F820">
        <v>0</v>
      </c>
      <c r="G820" t="s">
        <v>25</v>
      </c>
      <c r="H820" t="s">
        <v>99</v>
      </c>
      <c r="I820" t="s">
        <v>15</v>
      </c>
      <c r="J820" t="s">
        <v>37</v>
      </c>
      <c r="K820">
        <v>67015</v>
      </c>
      <c r="L820">
        <v>5</v>
      </c>
      <c r="M820" s="1">
        <v>45504</v>
      </c>
    </row>
    <row r="821" spans="1:13" x14ac:dyDescent="0.35">
      <c r="A821" t="s">
        <v>1335</v>
      </c>
      <c r="B821" t="s">
        <v>553</v>
      </c>
      <c r="C821" t="s">
        <v>45</v>
      </c>
      <c r="D821">
        <v>49</v>
      </c>
      <c r="E821">
        <v>49</v>
      </c>
      <c r="F821">
        <v>0</v>
      </c>
      <c r="G821" t="s">
        <v>25</v>
      </c>
      <c r="H821" t="s">
        <v>58</v>
      </c>
      <c r="I821" t="s">
        <v>88</v>
      </c>
      <c r="J821" t="s">
        <v>37</v>
      </c>
      <c r="K821">
        <v>35555</v>
      </c>
      <c r="L821">
        <v>4</v>
      </c>
      <c r="M821" s="1">
        <v>45532</v>
      </c>
    </row>
    <row r="822" spans="1:13" x14ac:dyDescent="0.35">
      <c r="A822" t="s">
        <v>1336</v>
      </c>
      <c r="B822" t="s">
        <v>824</v>
      </c>
      <c r="C822" t="s">
        <v>117</v>
      </c>
      <c r="D822">
        <v>29</v>
      </c>
      <c r="E822">
        <v>29</v>
      </c>
      <c r="F822">
        <v>0</v>
      </c>
      <c r="G822" t="s">
        <v>25</v>
      </c>
      <c r="H822" t="s">
        <v>19</v>
      </c>
      <c r="I822" t="s">
        <v>2153</v>
      </c>
      <c r="J822" t="s">
        <v>40</v>
      </c>
      <c r="L822">
        <v>1</v>
      </c>
      <c r="M822" s="1">
        <v>45569</v>
      </c>
    </row>
    <row r="823" spans="1:13" x14ac:dyDescent="0.35">
      <c r="A823" t="s">
        <v>1337</v>
      </c>
      <c r="B823" t="s">
        <v>509</v>
      </c>
      <c r="C823" t="s">
        <v>130</v>
      </c>
      <c r="D823">
        <v>34</v>
      </c>
      <c r="E823">
        <v>34</v>
      </c>
      <c r="F823">
        <v>0</v>
      </c>
      <c r="G823" t="s">
        <v>14</v>
      </c>
      <c r="H823" t="s">
        <v>32</v>
      </c>
      <c r="I823" t="s">
        <v>15</v>
      </c>
      <c r="J823" t="s">
        <v>26</v>
      </c>
      <c r="L823">
        <v>5</v>
      </c>
      <c r="M823" s="1">
        <v>45515</v>
      </c>
    </row>
    <row r="824" spans="1:13" x14ac:dyDescent="0.35">
      <c r="A824" t="s">
        <v>1338</v>
      </c>
      <c r="B824" t="s">
        <v>785</v>
      </c>
      <c r="C824" t="s">
        <v>130</v>
      </c>
      <c r="D824">
        <v>21</v>
      </c>
      <c r="E824">
        <v>21</v>
      </c>
      <c r="F824">
        <v>0</v>
      </c>
      <c r="G824" t="s">
        <v>25</v>
      </c>
      <c r="H824" t="s">
        <v>58</v>
      </c>
      <c r="I824" t="s">
        <v>15</v>
      </c>
      <c r="J824" t="s">
        <v>16</v>
      </c>
      <c r="L824">
        <v>3</v>
      </c>
      <c r="M824" s="1">
        <v>45389</v>
      </c>
    </row>
    <row r="825" spans="1:13" x14ac:dyDescent="0.35">
      <c r="A825" t="s">
        <v>1339</v>
      </c>
      <c r="B825" t="s">
        <v>129</v>
      </c>
      <c r="C825" t="s">
        <v>184</v>
      </c>
      <c r="D825">
        <v>25</v>
      </c>
      <c r="E825">
        <v>25</v>
      </c>
      <c r="F825">
        <v>0</v>
      </c>
      <c r="G825" t="s">
        <v>14</v>
      </c>
      <c r="H825" t="s">
        <v>99</v>
      </c>
      <c r="I825" t="s">
        <v>105</v>
      </c>
      <c r="J825" t="s">
        <v>40</v>
      </c>
      <c r="L825">
        <v>2</v>
      </c>
      <c r="M825" s="1">
        <v>45354</v>
      </c>
    </row>
    <row r="826" spans="1:13" x14ac:dyDescent="0.35">
      <c r="A826" t="s">
        <v>1340</v>
      </c>
      <c r="B826" t="s">
        <v>285</v>
      </c>
      <c r="C826" t="s">
        <v>45</v>
      </c>
      <c r="D826">
        <v>49</v>
      </c>
      <c r="E826">
        <v>49</v>
      </c>
      <c r="F826">
        <v>0</v>
      </c>
      <c r="G826" t="s">
        <v>25</v>
      </c>
      <c r="H826" t="s">
        <v>99</v>
      </c>
      <c r="I826" t="s">
        <v>105</v>
      </c>
      <c r="J826" t="s">
        <v>26</v>
      </c>
      <c r="L826">
        <v>7</v>
      </c>
      <c r="M826" s="1">
        <v>45360</v>
      </c>
    </row>
    <row r="827" spans="1:13" x14ac:dyDescent="0.35">
      <c r="A827" t="s">
        <v>1341</v>
      </c>
      <c r="B827" t="s">
        <v>1342</v>
      </c>
      <c r="C827" t="s">
        <v>184</v>
      </c>
      <c r="D827">
        <v>30</v>
      </c>
      <c r="E827">
        <v>30</v>
      </c>
      <c r="F827">
        <v>0</v>
      </c>
      <c r="G827" t="s">
        <v>14</v>
      </c>
      <c r="H827" t="s">
        <v>58</v>
      </c>
      <c r="I827" t="s">
        <v>2153</v>
      </c>
      <c r="J827" t="s">
        <v>16</v>
      </c>
      <c r="L827">
        <v>7</v>
      </c>
      <c r="M827" s="1">
        <v>45480</v>
      </c>
    </row>
    <row r="828" spans="1:13" x14ac:dyDescent="0.35">
      <c r="A828" t="s">
        <v>1343</v>
      </c>
      <c r="B828" t="s">
        <v>247</v>
      </c>
      <c r="C828" t="s">
        <v>29</v>
      </c>
      <c r="D828">
        <v>34</v>
      </c>
      <c r="E828">
        <v>34</v>
      </c>
      <c r="F828">
        <v>0</v>
      </c>
      <c r="G828" t="s">
        <v>14</v>
      </c>
      <c r="H828" t="s">
        <v>99</v>
      </c>
      <c r="I828" t="s">
        <v>105</v>
      </c>
      <c r="J828" t="s">
        <v>20</v>
      </c>
      <c r="K828">
        <v>57897</v>
      </c>
      <c r="L828">
        <v>2</v>
      </c>
      <c r="M828" s="1">
        <v>45592</v>
      </c>
    </row>
    <row r="829" spans="1:13" x14ac:dyDescent="0.35">
      <c r="A829" t="s">
        <v>1344</v>
      </c>
      <c r="B829" t="s">
        <v>596</v>
      </c>
      <c r="C829" t="s">
        <v>130</v>
      </c>
      <c r="D829">
        <v>65</v>
      </c>
      <c r="E829">
        <v>65</v>
      </c>
      <c r="F829">
        <v>0</v>
      </c>
      <c r="G829" t="s">
        <v>25</v>
      </c>
      <c r="H829" t="s">
        <v>32</v>
      </c>
      <c r="I829" t="s">
        <v>2154</v>
      </c>
      <c r="J829" t="s">
        <v>37</v>
      </c>
      <c r="K829">
        <v>61645</v>
      </c>
      <c r="L829">
        <v>6</v>
      </c>
      <c r="M829" s="1">
        <v>45353</v>
      </c>
    </row>
    <row r="830" spans="1:13" x14ac:dyDescent="0.35">
      <c r="A830" t="s">
        <v>1345</v>
      </c>
      <c r="B830" t="s">
        <v>188</v>
      </c>
      <c r="C830" t="s">
        <v>69</v>
      </c>
      <c r="D830">
        <v>26</v>
      </c>
      <c r="E830">
        <v>26</v>
      </c>
      <c r="F830">
        <v>0</v>
      </c>
      <c r="G830" t="s">
        <v>14</v>
      </c>
      <c r="H830" t="s">
        <v>19</v>
      </c>
      <c r="I830" t="s">
        <v>105</v>
      </c>
      <c r="J830" t="s">
        <v>16</v>
      </c>
      <c r="L830">
        <v>2</v>
      </c>
      <c r="M830" s="1">
        <v>45405</v>
      </c>
    </row>
    <row r="831" spans="1:13" x14ac:dyDescent="0.35">
      <c r="A831" t="s">
        <v>1346</v>
      </c>
      <c r="B831" t="s">
        <v>1115</v>
      </c>
      <c r="C831" t="s">
        <v>119</v>
      </c>
      <c r="D831">
        <v>21</v>
      </c>
      <c r="E831">
        <v>21</v>
      </c>
      <c r="F831">
        <v>0</v>
      </c>
      <c r="G831" t="s">
        <v>14</v>
      </c>
      <c r="H831" t="s">
        <v>19</v>
      </c>
      <c r="I831" t="s">
        <v>2154</v>
      </c>
      <c r="J831" t="s">
        <v>37</v>
      </c>
      <c r="K831">
        <v>30000</v>
      </c>
      <c r="L831">
        <v>7</v>
      </c>
      <c r="M831" s="1">
        <v>45501</v>
      </c>
    </row>
    <row r="832" spans="1:13" x14ac:dyDescent="0.35">
      <c r="A832" t="s">
        <v>1347</v>
      </c>
      <c r="B832" t="s">
        <v>1348</v>
      </c>
      <c r="C832" t="s">
        <v>184</v>
      </c>
      <c r="D832">
        <v>34</v>
      </c>
      <c r="E832">
        <v>34</v>
      </c>
      <c r="F832">
        <v>0</v>
      </c>
      <c r="G832" t="s">
        <v>14</v>
      </c>
      <c r="H832" t="s">
        <v>32</v>
      </c>
      <c r="I832" t="s">
        <v>15</v>
      </c>
      <c r="J832" t="s">
        <v>26</v>
      </c>
      <c r="L832">
        <v>8</v>
      </c>
      <c r="M832" s="1">
        <v>45358</v>
      </c>
    </row>
    <row r="833" spans="1:13" x14ac:dyDescent="0.35">
      <c r="A833" t="s">
        <v>1349</v>
      </c>
      <c r="B833" t="s">
        <v>1350</v>
      </c>
      <c r="C833" t="s">
        <v>172</v>
      </c>
      <c r="D833">
        <v>37</v>
      </c>
      <c r="E833">
        <v>37</v>
      </c>
      <c r="F833">
        <v>0</v>
      </c>
      <c r="G833" t="s">
        <v>25</v>
      </c>
      <c r="H833" t="s">
        <v>58</v>
      </c>
      <c r="I833" t="s">
        <v>105</v>
      </c>
      <c r="J833" t="s">
        <v>40</v>
      </c>
      <c r="L833">
        <v>1</v>
      </c>
      <c r="M833" s="1">
        <v>45346</v>
      </c>
    </row>
    <row r="834" spans="1:13" x14ac:dyDescent="0.35">
      <c r="A834" t="s">
        <v>1351</v>
      </c>
      <c r="B834" t="s">
        <v>410</v>
      </c>
      <c r="C834" t="s">
        <v>117</v>
      </c>
      <c r="D834">
        <v>7</v>
      </c>
      <c r="E834">
        <v>7</v>
      </c>
      <c r="F834">
        <v>0</v>
      </c>
      <c r="G834" t="s">
        <v>14</v>
      </c>
      <c r="H834" t="s">
        <v>99</v>
      </c>
      <c r="I834" t="s">
        <v>88</v>
      </c>
      <c r="J834" t="s">
        <v>26</v>
      </c>
      <c r="L834">
        <v>3</v>
      </c>
      <c r="M834" s="1">
        <v>45531</v>
      </c>
    </row>
    <row r="835" spans="1:13" x14ac:dyDescent="0.35">
      <c r="A835" t="s">
        <v>1352</v>
      </c>
      <c r="B835" t="s">
        <v>323</v>
      </c>
      <c r="C835" t="s">
        <v>172</v>
      </c>
      <c r="D835">
        <v>72</v>
      </c>
      <c r="E835">
        <v>72</v>
      </c>
      <c r="F835">
        <v>0</v>
      </c>
      <c r="G835" t="s">
        <v>25</v>
      </c>
      <c r="H835" t="s">
        <v>58</v>
      </c>
      <c r="I835" t="s">
        <v>15</v>
      </c>
      <c r="J835" t="s">
        <v>37</v>
      </c>
      <c r="K835">
        <v>34942</v>
      </c>
      <c r="L835">
        <v>7</v>
      </c>
      <c r="M835" s="1">
        <v>45399</v>
      </c>
    </row>
    <row r="836" spans="1:13" x14ac:dyDescent="0.35">
      <c r="A836" t="s">
        <v>1353</v>
      </c>
      <c r="B836" t="s">
        <v>1082</v>
      </c>
      <c r="C836" t="s">
        <v>154</v>
      </c>
      <c r="D836">
        <v>36</v>
      </c>
      <c r="E836">
        <v>36</v>
      </c>
      <c r="F836">
        <v>0</v>
      </c>
      <c r="G836" t="s">
        <v>25</v>
      </c>
      <c r="H836" t="s">
        <v>99</v>
      </c>
      <c r="I836" t="s">
        <v>105</v>
      </c>
      <c r="J836" t="s">
        <v>37</v>
      </c>
      <c r="K836">
        <v>37501</v>
      </c>
      <c r="L836">
        <v>3</v>
      </c>
      <c r="M836" s="1">
        <v>45314</v>
      </c>
    </row>
    <row r="837" spans="1:13" x14ac:dyDescent="0.35">
      <c r="A837" t="s">
        <v>1354</v>
      </c>
      <c r="B837" t="s">
        <v>851</v>
      </c>
      <c r="C837" t="s">
        <v>172</v>
      </c>
      <c r="D837">
        <v>32</v>
      </c>
      <c r="E837">
        <v>32</v>
      </c>
      <c r="F837">
        <v>0</v>
      </c>
      <c r="G837" t="s">
        <v>14</v>
      </c>
      <c r="H837" t="s">
        <v>32</v>
      </c>
      <c r="I837" t="s">
        <v>88</v>
      </c>
      <c r="J837" t="s">
        <v>40</v>
      </c>
      <c r="L837">
        <v>1</v>
      </c>
      <c r="M837" s="1">
        <v>45560</v>
      </c>
    </row>
    <row r="838" spans="1:13" x14ac:dyDescent="0.35">
      <c r="A838" t="s">
        <v>1355</v>
      </c>
      <c r="B838" t="s">
        <v>625</v>
      </c>
      <c r="C838" t="s">
        <v>117</v>
      </c>
      <c r="D838">
        <v>25</v>
      </c>
      <c r="E838">
        <v>25</v>
      </c>
      <c r="F838">
        <v>0</v>
      </c>
      <c r="G838" t="s">
        <v>14</v>
      </c>
      <c r="H838" t="s">
        <v>99</v>
      </c>
      <c r="I838" t="s">
        <v>88</v>
      </c>
      <c r="J838" t="s">
        <v>37</v>
      </c>
      <c r="K838">
        <v>46429</v>
      </c>
      <c r="L838">
        <v>5</v>
      </c>
      <c r="M838" s="1">
        <v>45410</v>
      </c>
    </row>
    <row r="839" spans="1:13" x14ac:dyDescent="0.35">
      <c r="A839" t="s">
        <v>1356</v>
      </c>
      <c r="B839" t="s">
        <v>1003</v>
      </c>
      <c r="C839" t="s">
        <v>45</v>
      </c>
      <c r="D839">
        <v>28</v>
      </c>
      <c r="E839">
        <v>28</v>
      </c>
      <c r="F839">
        <v>0</v>
      </c>
      <c r="G839" t="s">
        <v>25</v>
      </c>
      <c r="H839" t="s">
        <v>58</v>
      </c>
      <c r="I839" t="s">
        <v>105</v>
      </c>
      <c r="J839" t="s">
        <v>20</v>
      </c>
      <c r="K839">
        <v>99099</v>
      </c>
      <c r="L839">
        <v>7</v>
      </c>
      <c r="M839" s="1">
        <v>45469</v>
      </c>
    </row>
    <row r="840" spans="1:13" x14ac:dyDescent="0.35">
      <c r="A840" t="s">
        <v>1357</v>
      </c>
      <c r="B840" t="s">
        <v>817</v>
      </c>
      <c r="C840" t="s">
        <v>29</v>
      </c>
      <c r="D840">
        <v>45</v>
      </c>
      <c r="E840">
        <v>45</v>
      </c>
      <c r="F840">
        <v>0</v>
      </c>
      <c r="G840" t="s">
        <v>25</v>
      </c>
      <c r="H840" t="s">
        <v>58</v>
      </c>
      <c r="I840" t="s">
        <v>105</v>
      </c>
      <c r="J840" t="s">
        <v>20</v>
      </c>
      <c r="K840">
        <v>41406</v>
      </c>
      <c r="L840">
        <v>6</v>
      </c>
      <c r="M840" s="1">
        <v>45381</v>
      </c>
    </row>
    <row r="841" spans="1:13" x14ac:dyDescent="0.35">
      <c r="A841" t="s">
        <v>1358</v>
      </c>
      <c r="B841" t="s">
        <v>1062</v>
      </c>
      <c r="C841" t="s">
        <v>117</v>
      </c>
      <c r="D841">
        <v>45</v>
      </c>
      <c r="E841">
        <v>45</v>
      </c>
      <c r="F841">
        <v>0</v>
      </c>
      <c r="G841" t="s">
        <v>14</v>
      </c>
      <c r="H841" t="s">
        <v>99</v>
      </c>
      <c r="I841" t="s">
        <v>2153</v>
      </c>
      <c r="J841" t="s">
        <v>37</v>
      </c>
      <c r="K841">
        <v>71287</v>
      </c>
      <c r="L841">
        <v>5</v>
      </c>
      <c r="M841" s="1">
        <v>45452</v>
      </c>
    </row>
    <row r="842" spans="1:13" x14ac:dyDescent="0.35">
      <c r="A842" t="s">
        <v>1359</v>
      </c>
      <c r="B842" t="s">
        <v>1360</v>
      </c>
      <c r="C842" t="s">
        <v>172</v>
      </c>
      <c r="D842">
        <v>26</v>
      </c>
      <c r="E842">
        <v>26</v>
      </c>
      <c r="F842">
        <v>0</v>
      </c>
      <c r="G842" t="s">
        <v>25</v>
      </c>
      <c r="H842" t="s">
        <v>99</v>
      </c>
      <c r="I842" t="s">
        <v>88</v>
      </c>
      <c r="J842" t="s">
        <v>20</v>
      </c>
      <c r="K842">
        <v>48597</v>
      </c>
      <c r="L842">
        <v>4</v>
      </c>
      <c r="M842" s="1">
        <v>45458</v>
      </c>
    </row>
    <row r="843" spans="1:13" x14ac:dyDescent="0.35">
      <c r="A843" t="s">
        <v>1361</v>
      </c>
      <c r="B843" t="s">
        <v>57</v>
      </c>
      <c r="C843" t="s">
        <v>45</v>
      </c>
      <c r="D843">
        <v>17</v>
      </c>
      <c r="E843">
        <v>17</v>
      </c>
      <c r="F843">
        <v>0</v>
      </c>
      <c r="G843" t="s">
        <v>25</v>
      </c>
      <c r="H843" t="s">
        <v>32</v>
      </c>
      <c r="I843" t="s">
        <v>105</v>
      </c>
      <c r="J843" t="s">
        <v>16</v>
      </c>
      <c r="L843">
        <v>2</v>
      </c>
      <c r="M843" s="1">
        <v>45474</v>
      </c>
    </row>
    <row r="844" spans="1:13" x14ac:dyDescent="0.35">
      <c r="A844" t="s">
        <v>1362</v>
      </c>
      <c r="B844" t="s">
        <v>1141</v>
      </c>
      <c r="C844" t="s">
        <v>13</v>
      </c>
      <c r="D844">
        <v>28</v>
      </c>
      <c r="E844">
        <v>28</v>
      </c>
      <c r="F844">
        <v>0</v>
      </c>
      <c r="G844" t="s">
        <v>25</v>
      </c>
      <c r="H844" t="s">
        <v>99</v>
      </c>
      <c r="I844" t="s">
        <v>105</v>
      </c>
      <c r="J844" t="s">
        <v>20</v>
      </c>
      <c r="K844">
        <v>133440</v>
      </c>
      <c r="L844">
        <v>7</v>
      </c>
      <c r="M844" s="1">
        <v>45493</v>
      </c>
    </row>
    <row r="845" spans="1:13" x14ac:dyDescent="0.35">
      <c r="A845" t="s">
        <v>1363</v>
      </c>
      <c r="B845" t="s">
        <v>1364</v>
      </c>
      <c r="C845" t="s">
        <v>13</v>
      </c>
      <c r="D845">
        <v>18</v>
      </c>
      <c r="E845">
        <v>18</v>
      </c>
      <c r="F845">
        <v>0</v>
      </c>
      <c r="G845" t="s">
        <v>14</v>
      </c>
      <c r="H845" t="s">
        <v>99</v>
      </c>
      <c r="I845" t="s">
        <v>105</v>
      </c>
      <c r="J845" t="s">
        <v>26</v>
      </c>
      <c r="L845">
        <v>5</v>
      </c>
      <c r="M845" s="1">
        <v>45362</v>
      </c>
    </row>
    <row r="846" spans="1:13" x14ac:dyDescent="0.35">
      <c r="A846" t="s">
        <v>1365</v>
      </c>
      <c r="B846" t="s">
        <v>1366</v>
      </c>
      <c r="C846" t="s">
        <v>172</v>
      </c>
      <c r="D846">
        <v>33</v>
      </c>
      <c r="E846">
        <v>33</v>
      </c>
      <c r="F846">
        <v>0</v>
      </c>
      <c r="G846" t="s">
        <v>14</v>
      </c>
      <c r="H846" t="s">
        <v>58</v>
      </c>
      <c r="I846" t="s">
        <v>88</v>
      </c>
      <c r="J846" t="s">
        <v>16</v>
      </c>
      <c r="L846">
        <v>5</v>
      </c>
      <c r="M846" s="1">
        <v>45552</v>
      </c>
    </row>
    <row r="847" spans="1:13" x14ac:dyDescent="0.35">
      <c r="A847" t="s">
        <v>1367</v>
      </c>
      <c r="B847" t="s">
        <v>1368</v>
      </c>
      <c r="C847" t="s">
        <v>13</v>
      </c>
      <c r="D847">
        <v>17</v>
      </c>
      <c r="E847">
        <v>17</v>
      </c>
      <c r="F847">
        <v>0</v>
      </c>
      <c r="G847" t="s">
        <v>14</v>
      </c>
      <c r="H847" t="s">
        <v>99</v>
      </c>
      <c r="I847" t="s">
        <v>105</v>
      </c>
      <c r="J847" t="s">
        <v>26</v>
      </c>
      <c r="L847">
        <v>9</v>
      </c>
      <c r="M847" s="1">
        <v>45564</v>
      </c>
    </row>
    <row r="848" spans="1:13" x14ac:dyDescent="0.35">
      <c r="A848" t="s">
        <v>1369</v>
      </c>
      <c r="B848" t="s">
        <v>927</v>
      </c>
      <c r="C848" t="s">
        <v>13</v>
      </c>
      <c r="D848">
        <v>12</v>
      </c>
      <c r="E848">
        <v>12</v>
      </c>
      <c r="F848">
        <v>0</v>
      </c>
      <c r="G848" t="s">
        <v>14</v>
      </c>
      <c r="H848" t="s">
        <v>99</v>
      </c>
      <c r="I848" t="s">
        <v>15</v>
      </c>
      <c r="J848" t="s">
        <v>26</v>
      </c>
      <c r="L848">
        <v>9</v>
      </c>
      <c r="M848" s="1">
        <v>45342</v>
      </c>
    </row>
    <row r="849" spans="1:13" x14ac:dyDescent="0.35">
      <c r="A849" t="s">
        <v>1370</v>
      </c>
      <c r="B849" t="s">
        <v>134</v>
      </c>
      <c r="C849" t="s">
        <v>45</v>
      </c>
      <c r="D849">
        <v>35</v>
      </c>
      <c r="E849">
        <v>35</v>
      </c>
      <c r="F849">
        <v>0</v>
      </c>
      <c r="G849" t="s">
        <v>14</v>
      </c>
      <c r="H849" t="s">
        <v>19</v>
      </c>
      <c r="I849" t="s">
        <v>88</v>
      </c>
      <c r="J849" t="s">
        <v>16</v>
      </c>
      <c r="L849">
        <v>2</v>
      </c>
      <c r="M849" s="1">
        <v>45403</v>
      </c>
    </row>
    <row r="850" spans="1:13" x14ac:dyDescent="0.35">
      <c r="A850" t="s">
        <v>1371</v>
      </c>
      <c r="B850" t="s">
        <v>488</v>
      </c>
      <c r="C850" t="s">
        <v>117</v>
      </c>
      <c r="D850">
        <v>45</v>
      </c>
      <c r="E850">
        <v>45</v>
      </c>
      <c r="F850">
        <v>0</v>
      </c>
      <c r="G850" t="s">
        <v>25</v>
      </c>
      <c r="H850" t="s">
        <v>99</v>
      </c>
      <c r="I850" t="s">
        <v>15</v>
      </c>
      <c r="J850" t="s">
        <v>37</v>
      </c>
      <c r="K850">
        <v>30000</v>
      </c>
      <c r="L850">
        <v>1</v>
      </c>
      <c r="M850" s="1">
        <v>45520</v>
      </c>
    </row>
    <row r="851" spans="1:13" x14ac:dyDescent="0.35">
      <c r="A851" t="s">
        <v>1372</v>
      </c>
      <c r="B851" t="s">
        <v>1373</v>
      </c>
      <c r="C851" t="s">
        <v>69</v>
      </c>
      <c r="D851">
        <v>44</v>
      </c>
      <c r="E851">
        <v>44</v>
      </c>
      <c r="F851">
        <v>0</v>
      </c>
      <c r="G851" t="s">
        <v>25</v>
      </c>
      <c r="H851" t="s">
        <v>99</v>
      </c>
      <c r="I851" t="s">
        <v>15</v>
      </c>
      <c r="J851" t="s">
        <v>20</v>
      </c>
      <c r="K851">
        <v>30000</v>
      </c>
      <c r="L851">
        <v>8</v>
      </c>
      <c r="M851" s="1">
        <v>45467</v>
      </c>
    </row>
    <row r="852" spans="1:13" x14ac:dyDescent="0.35">
      <c r="A852" t="s">
        <v>1374</v>
      </c>
      <c r="B852" t="s">
        <v>42</v>
      </c>
      <c r="C852" t="s">
        <v>69</v>
      </c>
      <c r="D852">
        <v>60</v>
      </c>
      <c r="E852">
        <v>60</v>
      </c>
      <c r="F852">
        <v>0</v>
      </c>
      <c r="G852" t="s">
        <v>25</v>
      </c>
      <c r="H852" t="s">
        <v>32</v>
      </c>
      <c r="I852" t="s">
        <v>15</v>
      </c>
      <c r="J852" t="s">
        <v>20</v>
      </c>
      <c r="K852">
        <v>132820</v>
      </c>
      <c r="L852">
        <v>8</v>
      </c>
      <c r="M852" s="1">
        <v>45335</v>
      </c>
    </row>
    <row r="853" spans="1:13" x14ac:dyDescent="0.35">
      <c r="A853" t="s">
        <v>1375</v>
      </c>
      <c r="B853" t="s">
        <v>1376</v>
      </c>
      <c r="C853" t="s">
        <v>13</v>
      </c>
      <c r="D853">
        <v>13</v>
      </c>
      <c r="E853">
        <v>13</v>
      </c>
      <c r="F853">
        <v>0</v>
      </c>
      <c r="G853" t="s">
        <v>14</v>
      </c>
      <c r="H853" t="s">
        <v>99</v>
      </c>
      <c r="I853" t="s">
        <v>2154</v>
      </c>
      <c r="J853" t="s">
        <v>26</v>
      </c>
      <c r="L853">
        <v>4</v>
      </c>
      <c r="M853" s="1">
        <v>45567</v>
      </c>
    </row>
    <row r="854" spans="1:13" x14ac:dyDescent="0.35">
      <c r="A854" t="s">
        <v>1377</v>
      </c>
      <c r="B854" t="s">
        <v>1378</v>
      </c>
      <c r="C854" t="s">
        <v>154</v>
      </c>
      <c r="D854">
        <v>1</v>
      </c>
      <c r="E854">
        <v>1</v>
      </c>
      <c r="F854">
        <v>0</v>
      </c>
      <c r="G854" t="s">
        <v>14</v>
      </c>
      <c r="H854" t="s">
        <v>99</v>
      </c>
      <c r="I854" t="s">
        <v>105</v>
      </c>
      <c r="J854" t="s">
        <v>26</v>
      </c>
      <c r="L854">
        <v>8</v>
      </c>
      <c r="M854" s="1">
        <v>45434</v>
      </c>
    </row>
    <row r="855" spans="1:13" x14ac:dyDescent="0.35">
      <c r="A855" t="s">
        <v>1379</v>
      </c>
      <c r="B855" t="s">
        <v>1380</v>
      </c>
      <c r="C855" t="s">
        <v>117</v>
      </c>
      <c r="D855">
        <v>57</v>
      </c>
      <c r="E855">
        <v>57</v>
      </c>
      <c r="F855">
        <v>0</v>
      </c>
      <c r="G855" t="s">
        <v>14</v>
      </c>
      <c r="H855" t="s">
        <v>32</v>
      </c>
      <c r="I855" t="s">
        <v>105</v>
      </c>
      <c r="J855" t="s">
        <v>40</v>
      </c>
      <c r="L855">
        <v>5</v>
      </c>
      <c r="M855" s="1">
        <v>45376</v>
      </c>
    </row>
    <row r="856" spans="1:13" x14ac:dyDescent="0.35">
      <c r="A856" t="s">
        <v>1381</v>
      </c>
      <c r="B856" t="s">
        <v>1382</v>
      </c>
      <c r="C856" t="s">
        <v>119</v>
      </c>
      <c r="D856">
        <v>41</v>
      </c>
      <c r="E856">
        <v>41</v>
      </c>
      <c r="F856">
        <v>0</v>
      </c>
      <c r="G856" t="s">
        <v>25</v>
      </c>
      <c r="H856" t="s">
        <v>19</v>
      </c>
      <c r="I856" t="s">
        <v>2154</v>
      </c>
      <c r="J856" t="s">
        <v>26</v>
      </c>
      <c r="L856">
        <v>2</v>
      </c>
      <c r="M856" s="1">
        <v>45549</v>
      </c>
    </row>
    <row r="857" spans="1:13" x14ac:dyDescent="0.35">
      <c r="A857" t="s">
        <v>1383</v>
      </c>
      <c r="B857" t="s">
        <v>1384</v>
      </c>
      <c r="C857" t="s">
        <v>29</v>
      </c>
      <c r="D857">
        <v>27</v>
      </c>
      <c r="E857">
        <v>27</v>
      </c>
      <c r="F857">
        <v>0</v>
      </c>
      <c r="G857" t="s">
        <v>25</v>
      </c>
      <c r="H857" t="s">
        <v>58</v>
      </c>
      <c r="I857" t="s">
        <v>15</v>
      </c>
      <c r="J857" t="s">
        <v>37</v>
      </c>
      <c r="K857">
        <v>32355</v>
      </c>
      <c r="L857">
        <v>3</v>
      </c>
      <c r="M857" s="1">
        <v>45517</v>
      </c>
    </row>
    <row r="858" spans="1:13" x14ac:dyDescent="0.35">
      <c r="A858" t="s">
        <v>1385</v>
      </c>
      <c r="B858" t="s">
        <v>623</v>
      </c>
      <c r="C858" t="s">
        <v>117</v>
      </c>
      <c r="D858">
        <v>39</v>
      </c>
      <c r="E858">
        <v>39</v>
      </c>
      <c r="F858">
        <v>0</v>
      </c>
      <c r="G858" t="s">
        <v>25</v>
      </c>
      <c r="H858" t="s">
        <v>58</v>
      </c>
      <c r="I858" t="s">
        <v>88</v>
      </c>
      <c r="J858" t="s">
        <v>16</v>
      </c>
      <c r="L858">
        <v>1</v>
      </c>
      <c r="M858" s="1">
        <v>45444</v>
      </c>
    </row>
    <row r="859" spans="1:13" x14ac:dyDescent="0.35">
      <c r="A859" t="s">
        <v>1386</v>
      </c>
      <c r="B859" t="s">
        <v>1387</v>
      </c>
      <c r="C859" t="s">
        <v>119</v>
      </c>
      <c r="D859">
        <v>31</v>
      </c>
      <c r="E859">
        <v>31</v>
      </c>
      <c r="F859">
        <v>0</v>
      </c>
      <c r="G859" t="s">
        <v>14</v>
      </c>
      <c r="H859" t="s">
        <v>58</v>
      </c>
      <c r="I859" t="s">
        <v>15</v>
      </c>
      <c r="J859" t="s">
        <v>20</v>
      </c>
      <c r="K859">
        <v>49565</v>
      </c>
      <c r="L859">
        <v>4</v>
      </c>
      <c r="M859" s="1">
        <v>45352</v>
      </c>
    </row>
    <row r="860" spans="1:13" x14ac:dyDescent="0.35">
      <c r="A860" t="s">
        <v>1388</v>
      </c>
      <c r="B860" t="s">
        <v>594</v>
      </c>
      <c r="C860" t="s">
        <v>184</v>
      </c>
      <c r="D860">
        <v>44</v>
      </c>
      <c r="E860">
        <v>44</v>
      </c>
      <c r="F860">
        <v>0</v>
      </c>
      <c r="G860" t="s">
        <v>14</v>
      </c>
      <c r="H860" t="s">
        <v>58</v>
      </c>
      <c r="I860" t="s">
        <v>88</v>
      </c>
      <c r="J860" t="s">
        <v>37</v>
      </c>
      <c r="K860">
        <v>33108</v>
      </c>
      <c r="L860">
        <v>1</v>
      </c>
      <c r="M860" s="1">
        <v>45575</v>
      </c>
    </row>
    <row r="861" spans="1:13" x14ac:dyDescent="0.35">
      <c r="A861" t="s">
        <v>1389</v>
      </c>
      <c r="B861" t="s">
        <v>1390</v>
      </c>
      <c r="C861" t="s">
        <v>29</v>
      </c>
      <c r="D861">
        <v>55</v>
      </c>
      <c r="E861">
        <v>55</v>
      </c>
      <c r="F861">
        <v>0</v>
      </c>
      <c r="G861" t="s">
        <v>25</v>
      </c>
      <c r="H861" t="s">
        <v>19</v>
      </c>
      <c r="I861" t="s">
        <v>88</v>
      </c>
      <c r="J861" t="s">
        <v>37</v>
      </c>
      <c r="K861">
        <v>126467</v>
      </c>
      <c r="L861">
        <v>3</v>
      </c>
      <c r="M861" s="1">
        <v>45496</v>
      </c>
    </row>
    <row r="862" spans="1:13" x14ac:dyDescent="0.35">
      <c r="A862" t="s">
        <v>1391</v>
      </c>
      <c r="B862" t="s">
        <v>787</v>
      </c>
      <c r="C862" t="s">
        <v>130</v>
      </c>
      <c r="D862">
        <v>29</v>
      </c>
      <c r="E862">
        <v>29</v>
      </c>
      <c r="F862">
        <v>0</v>
      </c>
      <c r="G862" t="s">
        <v>25</v>
      </c>
      <c r="H862" t="s">
        <v>19</v>
      </c>
      <c r="I862" t="s">
        <v>15</v>
      </c>
      <c r="J862" t="s">
        <v>26</v>
      </c>
      <c r="L862">
        <v>2</v>
      </c>
      <c r="M862" s="1">
        <v>45352</v>
      </c>
    </row>
    <row r="863" spans="1:13" x14ac:dyDescent="0.35">
      <c r="A863" t="s">
        <v>1392</v>
      </c>
      <c r="B863" t="s">
        <v>332</v>
      </c>
      <c r="C863" t="s">
        <v>13</v>
      </c>
      <c r="D863">
        <v>14</v>
      </c>
      <c r="E863">
        <v>14</v>
      </c>
      <c r="F863">
        <v>0</v>
      </c>
      <c r="G863" t="s">
        <v>14</v>
      </c>
      <c r="H863" t="s">
        <v>99</v>
      </c>
      <c r="I863" t="s">
        <v>15</v>
      </c>
      <c r="J863" t="s">
        <v>26</v>
      </c>
      <c r="L863">
        <v>4</v>
      </c>
      <c r="M863" s="1">
        <v>45542</v>
      </c>
    </row>
    <row r="864" spans="1:13" x14ac:dyDescent="0.35">
      <c r="A864" t="s">
        <v>1393</v>
      </c>
      <c r="B864" t="s">
        <v>363</v>
      </c>
      <c r="C864" t="s">
        <v>29</v>
      </c>
      <c r="D864">
        <v>30</v>
      </c>
      <c r="E864">
        <v>30</v>
      </c>
      <c r="F864">
        <v>0</v>
      </c>
      <c r="G864" t="s">
        <v>25</v>
      </c>
      <c r="H864" t="s">
        <v>19</v>
      </c>
      <c r="I864" t="s">
        <v>15</v>
      </c>
      <c r="J864" t="s">
        <v>40</v>
      </c>
      <c r="L864">
        <v>7</v>
      </c>
      <c r="M864" s="1">
        <v>45528</v>
      </c>
    </row>
    <row r="865" spans="1:13" x14ac:dyDescent="0.35">
      <c r="A865" t="s">
        <v>1394</v>
      </c>
      <c r="B865" t="s">
        <v>1276</v>
      </c>
      <c r="C865" t="s">
        <v>172</v>
      </c>
      <c r="D865">
        <v>43</v>
      </c>
      <c r="E865">
        <v>43</v>
      </c>
      <c r="F865">
        <v>0</v>
      </c>
      <c r="G865" t="s">
        <v>25</v>
      </c>
      <c r="H865" t="s">
        <v>58</v>
      </c>
      <c r="I865" t="s">
        <v>88</v>
      </c>
      <c r="J865" t="s">
        <v>16</v>
      </c>
      <c r="L865">
        <v>7</v>
      </c>
      <c r="M865" s="1">
        <v>45549</v>
      </c>
    </row>
    <row r="866" spans="1:13" x14ac:dyDescent="0.35">
      <c r="A866" t="s">
        <v>1395</v>
      </c>
      <c r="B866" t="s">
        <v>603</v>
      </c>
      <c r="C866" t="s">
        <v>69</v>
      </c>
      <c r="D866">
        <v>44</v>
      </c>
      <c r="E866">
        <v>44</v>
      </c>
      <c r="F866">
        <v>0</v>
      </c>
      <c r="G866" t="s">
        <v>25</v>
      </c>
      <c r="H866" t="s">
        <v>58</v>
      </c>
      <c r="I866" t="s">
        <v>105</v>
      </c>
      <c r="J866" t="s">
        <v>40</v>
      </c>
      <c r="L866">
        <v>9</v>
      </c>
      <c r="M866" s="1">
        <v>45355</v>
      </c>
    </row>
    <row r="867" spans="1:13" x14ac:dyDescent="0.35">
      <c r="A867" t="s">
        <v>1396</v>
      </c>
      <c r="B867" t="s">
        <v>414</v>
      </c>
      <c r="C867" t="s">
        <v>184</v>
      </c>
      <c r="D867">
        <v>18</v>
      </c>
      <c r="E867">
        <v>18</v>
      </c>
      <c r="F867">
        <v>0</v>
      </c>
      <c r="G867" t="s">
        <v>25</v>
      </c>
      <c r="H867" t="s">
        <v>58</v>
      </c>
      <c r="I867" t="s">
        <v>88</v>
      </c>
      <c r="J867" t="s">
        <v>40</v>
      </c>
      <c r="L867">
        <v>3</v>
      </c>
      <c r="M867" s="1">
        <v>45434</v>
      </c>
    </row>
    <row r="868" spans="1:13" x14ac:dyDescent="0.35">
      <c r="A868" t="s">
        <v>1397</v>
      </c>
      <c r="B868" t="s">
        <v>995</v>
      </c>
      <c r="C868" t="s">
        <v>154</v>
      </c>
      <c r="D868">
        <v>12</v>
      </c>
      <c r="E868">
        <v>12</v>
      </c>
      <c r="F868">
        <v>0</v>
      </c>
      <c r="G868" t="s">
        <v>14</v>
      </c>
      <c r="H868" t="s">
        <v>99</v>
      </c>
      <c r="I868" t="s">
        <v>15</v>
      </c>
      <c r="J868" t="s">
        <v>26</v>
      </c>
      <c r="L868">
        <v>1</v>
      </c>
      <c r="M868" s="1">
        <v>45528</v>
      </c>
    </row>
    <row r="869" spans="1:13" x14ac:dyDescent="0.35">
      <c r="A869" t="s">
        <v>1398</v>
      </c>
      <c r="B869" t="s">
        <v>920</v>
      </c>
      <c r="C869" t="s">
        <v>13</v>
      </c>
      <c r="D869">
        <v>59</v>
      </c>
      <c r="E869">
        <v>59</v>
      </c>
      <c r="F869">
        <v>0</v>
      </c>
      <c r="G869" t="s">
        <v>25</v>
      </c>
      <c r="H869" t="s">
        <v>58</v>
      </c>
      <c r="I869" t="s">
        <v>105</v>
      </c>
      <c r="J869" t="s">
        <v>26</v>
      </c>
      <c r="L869">
        <v>6</v>
      </c>
      <c r="M869" s="1">
        <v>45365</v>
      </c>
    </row>
    <row r="870" spans="1:13" x14ac:dyDescent="0.35">
      <c r="A870" t="s">
        <v>1399</v>
      </c>
      <c r="B870" t="s">
        <v>1400</v>
      </c>
      <c r="C870" t="s">
        <v>154</v>
      </c>
      <c r="D870">
        <v>14</v>
      </c>
      <c r="E870">
        <v>14</v>
      </c>
      <c r="F870">
        <v>0</v>
      </c>
      <c r="G870" t="s">
        <v>25</v>
      </c>
      <c r="H870" t="s">
        <v>99</v>
      </c>
      <c r="I870" t="s">
        <v>88</v>
      </c>
      <c r="J870" t="s">
        <v>26</v>
      </c>
      <c r="L870">
        <v>9</v>
      </c>
      <c r="M870" s="1">
        <v>45297</v>
      </c>
    </row>
    <row r="871" spans="1:13" x14ac:dyDescent="0.35">
      <c r="A871" t="s">
        <v>1401</v>
      </c>
      <c r="B871" t="s">
        <v>550</v>
      </c>
      <c r="C871" t="s">
        <v>119</v>
      </c>
      <c r="D871">
        <v>40</v>
      </c>
      <c r="E871">
        <v>40</v>
      </c>
      <c r="F871">
        <v>0</v>
      </c>
      <c r="G871" t="s">
        <v>25</v>
      </c>
      <c r="H871" t="s">
        <v>32</v>
      </c>
      <c r="I871" t="s">
        <v>2153</v>
      </c>
      <c r="J871" t="s">
        <v>26</v>
      </c>
      <c r="L871">
        <v>2</v>
      </c>
      <c r="M871" s="1">
        <v>45535</v>
      </c>
    </row>
    <row r="872" spans="1:13" x14ac:dyDescent="0.35">
      <c r="A872" t="s">
        <v>1402</v>
      </c>
      <c r="B872" t="s">
        <v>798</v>
      </c>
      <c r="C872" t="s">
        <v>184</v>
      </c>
      <c r="D872">
        <v>72</v>
      </c>
      <c r="E872">
        <v>72</v>
      </c>
      <c r="F872">
        <v>0</v>
      </c>
      <c r="G872" t="s">
        <v>14</v>
      </c>
      <c r="H872" t="s">
        <v>58</v>
      </c>
      <c r="I872" t="s">
        <v>15</v>
      </c>
      <c r="J872" t="s">
        <v>16</v>
      </c>
      <c r="L872">
        <v>4</v>
      </c>
      <c r="M872" s="1">
        <v>45352</v>
      </c>
    </row>
    <row r="873" spans="1:13" x14ac:dyDescent="0.35">
      <c r="A873" t="s">
        <v>1403</v>
      </c>
      <c r="B873" t="s">
        <v>1144</v>
      </c>
      <c r="C873" t="s">
        <v>154</v>
      </c>
      <c r="D873">
        <v>64</v>
      </c>
      <c r="E873">
        <v>64</v>
      </c>
      <c r="F873">
        <v>0</v>
      </c>
      <c r="G873" t="s">
        <v>14</v>
      </c>
      <c r="H873" t="s">
        <v>99</v>
      </c>
      <c r="I873" t="s">
        <v>105</v>
      </c>
      <c r="J873" t="s">
        <v>16</v>
      </c>
      <c r="L873">
        <v>1</v>
      </c>
      <c r="M873" s="1">
        <v>45364</v>
      </c>
    </row>
    <row r="874" spans="1:13" x14ac:dyDescent="0.35">
      <c r="A874" t="s">
        <v>1404</v>
      </c>
      <c r="B874" t="s">
        <v>618</v>
      </c>
      <c r="C874" t="s">
        <v>69</v>
      </c>
      <c r="D874">
        <v>52</v>
      </c>
      <c r="E874">
        <v>52</v>
      </c>
      <c r="F874">
        <v>0</v>
      </c>
      <c r="G874" t="s">
        <v>25</v>
      </c>
      <c r="H874" t="s">
        <v>32</v>
      </c>
      <c r="I874" t="s">
        <v>105</v>
      </c>
      <c r="J874" t="s">
        <v>37</v>
      </c>
      <c r="K874">
        <v>38374</v>
      </c>
      <c r="L874">
        <v>6</v>
      </c>
      <c r="M874" s="1">
        <v>45521</v>
      </c>
    </row>
    <row r="875" spans="1:13" x14ac:dyDescent="0.35">
      <c r="A875" t="s">
        <v>1405</v>
      </c>
      <c r="B875" t="s">
        <v>325</v>
      </c>
      <c r="C875" t="s">
        <v>119</v>
      </c>
      <c r="D875">
        <v>47</v>
      </c>
      <c r="E875">
        <v>47</v>
      </c>
      <c r="F875">
        <v>0</v>
      </c>
      <c r="G875" t="s">
        <v>25</v>
      </c>
      <c r="H875" t="s">
        <v>32</v>
      </c>
      <c r="I875" t="s">
        <v>2154</v>
      </c>
      <c r="J875" t="s">
        <v>26</v>
      </c>
      <c r="L875">
        <v>4</v>
      </c>
      <c r="M875" s="1">
        <v>45506</v>
      </c>
    </row>
    <row r="876" spans="1:13" x14ac:dyDescent="0.35">
      <c r="A876" t="s">
        <v>1406</v>
      </c>
      <c r="B876" t="s">
        <v>1407</v>
      </c>
      <c r="C876" t="s">
        <v>45</v>
      </c>
      <c r="D876">
        <v>52</v>
      </c>
      <c r="E876">
        <v>52</v>
      </c>
      <c r="F876">
        <v>0</v>
      </c>
      <c r="G876" t="s">
        <v>25</v>
      </c>
      <c r="H876" t="s">
        <v>58</v>
      </c>
      <c r="I876" t="s">
        <v>15</v>
      </c>
      <c r="J876" t="s">
        <v>16</v>
      </c>
      <c r="L876">
        <v>7</v>
      </c>
      <c r="M876" s="1">
        <v>45444</v>
      </c>
    </row>
    <row r="877" spans="1:13" x14ac:dyDescent="0.35">
      <c r="A877" t="s">
        <v>1408</v>
      </c>
      <c r="B877" t="s">
        <v>1009</v>
      </c>
      <c r="C877" t="s">
        <v>117</v>
      </c>
      <c r="D877">
        <v>42</v>
      </c>
      <c r="E877">
        <v>42</v>
      </c>
      <c r="F877">
        <v>0</v>
      </c>
      <c r="G877" t="s">
        <v>14</v>
      </c>
      <c r="H877" t="s">
        <v>19</v>
      </c>
      <c r="I877" t="s">
        <v>15</v>
      </c>
      <c r="J877" t="s">
        <v>20</v>
      </c>
      <c r="K877">
        <v>30000</v>
      </c>
      <c r="L877">
        <v>9</v>
      </c>
      <c r="M877" s="1">
        <v>45349</v>
      </c>
    </row>
    <row r="878" spans="1:13" x14ac:dyDescent="0.35">
      <c r="A878" t="s">
        <v>1409</v>
      </c>
      <c r="B878" t="s">
        <v>245</v>
      </c>
      <c r="C878" t="s">
        <v>45</v>
      </c>
      <c r="D878">
        <v>43</v>
      </c>
      <c r="E878">
        <v>43</v>
      </c>
      <c r="F878">
        <v>0</v>
      </c>
      <c r="G878" t="s">
        <v>14</v>
      </c>
      <c r="H878" t="s">
        <v>32</v>
      </c>
      <c r="I878" t="s">
        <v>105</v>
      </c>
      <c r="J878" t="s">
        <v>37</v>
      </c>
      <c r="K878">
        <v>86037</v>
      </c>
      <c r="L878">
        <v>6</v>
      </c>
      <c r="M878" s="1">
        <v>45543</v>
      </c>
    </row>
    <row r="879" spans="1:13" x14ac:dyDescent="0.35">
      <c r="A879" t="s">
        <v>1410</v>
      </c>
      <c r="B879" t="s">
        <v>1219</v>
      </c>
      <c r="C879" t="s">
        <v>69</v>
      </c>
      <c r="D879">
        <v>13</v>
      </c>
      <c r="E879">
        <v>13</v>
      </c>
      <c r="F879">
        <v>0</v>
      </c>
      <c r="G879" t="s">
        <v>14</v>
      </c>
      <c r="H879" t="s">
        <v>99</v>
      </c>
      <c r="I879" t="s">
        <v>15</v>
      </c>
      <c r="J879" t="s">
        <v>26</v>
      </c>
      <c r="L879">
        <v>9</v>
      </c>
      <c r="M879" s="1">
        <v>45395</v>
      </c>
    </row>
    <row r="880" spans="1:13" x14ac:dyDescent="0.35">
      <c r="A880" t="s">
        <v>1411</v>
      </c>
      <c r="B880" t="s">
        <v>1412</v>
      </c>
      <c r="C880" t="s">
        <v>29</v>
      </c>
      <c r="D880">
        <v>37</v>
      </c>
      <c r="E880">
        <v>37</v>
      </c>
      <c r="F880">
        <v>0</v>
      </c>
      <c r="G880" t="s">
        <v>25</v>
      </c>
      <c r="H880" t="s">
        <v>19</v>
      </c>
      <c r="I880" t="s">
        <v>105</v>
      </c>
      <c r="J880" t="s">
        <v>37</v>
      </c>
      <c r="K880">
        <v>30507</v>
      </c>
      <c r="L880">
        <v>7</v>
      </c>
      <c r="M880" s="1">
        <v>45390</v>
      </c>
    </row>
    <row r="881" spans="1:13" x14ac:dyDescent="0.35">
      <c r="A881" t="s">
        <v>1413</v>
      </c>
      <c r="B881" t="s">
        <v>1009</v>
      </c>
      <c r="C881" t="s">
        <v>119</v>
      </c>
      <c r="D881">
        <v>11</v>
      </c>
      <c r="E881">
        <v>11</v>
      </c>
      <c r="F881">
        <v>0</v>
      </c>
      <c r="G881" t="s">
        <v>14</v>
      </c>
      <c r="H881" t="s">
        <v>99</v>
      </c>
      <c r="I881" t="s">
        <v>15</v>
      </c>
      <c r="J881" t="s">
        <v>26</v>
      </c>
      <c r="L881">
        <v>6</v>
      </c>
      <c r="M881" s="1">
        <v>45319</v>
      </c>
    </row>
    <row r="882" spans="1:13" x14ac:dyDescent="0.35">
      <c r="A882" t="s">
        <v>1414</v>
      </c>
      <c r="B882" t="s">
        <v>2180</v>
      </c>
      <c r="C882" t="s">
        <v>184</v>
      </c>
      <c r="D882">
        <v>50</v>
      </c>
      <c r="E882">
        <v>50</v>
      </c>
      <c r="F882">
        <v>0</v>
      </c>
      <c r="G882" t="s">
        <v>25</v>
      </c>
      <c r="H882" t="s">
        <v>99</v>
      </c>
      <c r="I882" t="s">
        <v>15</v>
      </c>
      <c r="J882" t="s">
        <v>37</v>
      </c>
      <c r="K882">
        <v>49651</v>
      </c>
      <c r="L882">
        <v>3</v>
      </c>
      <c r="M882" s="1">
        <v>45562</v>
      </c>
    </row>
    <row r="883" spans="1:13" x14ac:dyDescent="0.35">
      <c r="A883" t="s">
        <v>1415</v>
      </c>
      <c r="B883" t="s">
        <v>952</v>
      </c>
      <c r="C883" t="s">
        <v>184</v>
      </c>
      <c r="D883">
        <v>38</v>
      </c>
      <c r="E883">
        <v>38</v>
      </c>
      <c r="F883">
        <v>0</v>
      </c>
      <c r="G883" t="s">
        <v>25</v>
      </c>
      <c r="H883" t="s">
        <v>99</v>
      </c>
      <c r="I883" t="s">
        <v>105</v>
      </c>
      <c r="J883" t="s">
        <v>20</v>
      </c>
      <c r="K883">
        <v>79972</v>
      </c>
      <c r="L883">
        <v>2</v>
      </c>
      <c r="M883" s="1">
        <v>45558</v>
      </c>
    </row>
    <row r="884" spans="1:13" x14ac:dyDescent="0.35">
      <c r="A884" t="s">
        <v>1416</v>
      </c>
      <c r="B884" t="s">
        <v>1417</v>
      </c>
      <c r="C884" t="s">
        <v>172</v>
      </c>
      <c r="D884">
        <v>51</v>
      </c>
      <c r="E884">
        <v>51</v>
      </c>
      <c r="F884">
        <v>0</v>
      </c>
      <c r="G884" t="s">
        <v>14</v>
      </c>
      <c r="H884" t="s">
        <v>32</v>
      </c>
      <c r="I884" t="s">
        <v>88</v>
      </c>
      <c r="J884" t="s">
        <v>20</v>
      </c>
      <c r="K884">
        <v>37026</v>
      </c>
      <c r="L884">
        <v>6</v>
      </c>
      <c r="M884" s="1">
        <v>45520</v>
      </c>
    </row>
    <row r="885" spans="1:13" x14ac:dyDescent="0.35">
      <c r="A885" t="s">
        <v>1418</v>
      </c>
      <c r="B885" t="s">
        <v>334</v>
      </c>
      <c r="C885" t="s">
        <v>45</v>
      </c>
      <c r="D885">
        <v>35</v>
      </c>
      <c r="F885">
        <v>1</v>
      </c>
      <c r="G885" t="s">
        <v>25</v>
      </c>
      <c r="H885" t="s">
        <v>99</v>
      </c>
      <c r="I885" t="s">
        <v>105</v>
      </c>
      <c r="J885" t="s">
        <v>26</v>
      </c>
      <c r="L885">
        <v>4</v>
      </c>
      <c r="M885" s="1">
        <v>45307</v>
      </c>
    </row>
    <row r="886" spans="1:13" x14ac:dyDescent="0.35">
      <c r="A886" t="s">
        <v>1419</v>
      </c>
      <c r="B886" t="s">
        <v>927</v>
      </c>
      <c r="C886" t="s">
        <v>13</v>
      </c>
      <c r="D886">
        <v>27</v>
      </c>
      <c r="E886">
        <v>27</v>
      </c>
      <c r="F886">
        <v>0</v>
      </c>
      <c r="G886" t="s">
        <v>14</v>
      </c>
      <c r="H886" t="s">
        <v>99</v>
      </c>
      <c r="I886" t="s">
        <v>15</v>
      </c>
      <c r="J886" t="s">
        <v>26</v>
      </c>
      <c r="L886">
        <v>2</v>
      </c>
      <c r="M886" s="1">
        <v>45342</v>
      </c>
    </row>
    <row r="887" spans="1:13" x14ac:dyDescent="0.35">
      <c r="A887" t="s">
        <v>1420</v>
      </c>
      <c r="B887" t="s">
        <v>342</v>
      </c>
      <c r="C887" t="s">
        <v>172</v>
      </c>
      <c r="D887">
        <v>31</v>
      </c>
      <c r="E887">
        <v>31</v>
      </c>
      <c r="F887">
        <v>0</v>
      </c>
      <c r="G887" t="s">
        <v>14</v>
      </c>
      <c r="H887" t="s">
        <v>58</v>
      </c>
      <c r="I887" t="s">
        <v>15</v>
      </c>
      <c r="J887" t="s">
        <v>26</v>
      </c>
      <c r="L887">
        <v>4</v>
      </c>
      <c r="M887" s="1">
        <v>45486</v>
      </c>
    </row>
    <row r="888" spans="1:13" x14ac:dyDescent="0.35">
      <c r="A888" t="s">
        <v>1421</v>
      </c>
      <c r="B888" t="s">
        <v>1422</v>
      </c>
      <c r="C888" t="s">
        <v>154</v>
      </c>
      <c r="D888">
        <v>33</v>
      </c>
      <c r="E888">
        <v>33</v>
      </c>
      <c r="F888">
        <v>0</v>
      </c>
      <c r="G888" t="s">
        <v>14</v>
      </c>
      <c r="H888" t="s">
        <v>32</v>
      </c>
      <c r="I888" t="s">
        <v>105</v>
      </c>
      <c r="J888" t="s">
        <v>26</v>
      </c>
      <c r="L888">
        <v>4</v>
      </c>
      <c r="M888" s="1">
        <v>45631</v>
      </c>
    </row>
    <row r="889" spans="1:13" x14ac:dyDescent="0.35">
      <c r="A889" t="s">
        <v>1423</v>
      </c>
      <c r="B889" t="s">
        <v>245</v>
      </c>
      <c r="C889" t="s">
        <v>117</v>
      </c>
      <c r="D889">
        <v>40</v>
      </c>
      <c r="E889">
        <v>40</v>
      </c>
      <c r="F889">
        <v>0</v>
      </c>
      <c r="G889" t="s">
        <v>14</v>
      </c>
      <c r="H889" t="s">
        <v>99</v>
      </c>
      <c r="I889" t="s">
        <v>105</v>
      </c>
      <c r="J889" t="s">
        <v>20</v>
      </c>
      <c r="K889">
        <v>74167</v>
      </c>
      <c r="L889">
        <v>7</v>
      </c>
      <c r="M889" s="1">
        <v>45313</v>
      </c>
    </row>
    <row r="890" spans="1:13" x14ac:dyDescent="0.35">
      <c r="A890" t="s">
        <v>1424</v>
      </c>
      <c r="B890" t="s">
        <v>1425</v>
      </c>
      <c r="C890" t="s">
        <v>13</v>
      </c>
      <c r="D890">
        <v>53</v>
      </c>
      <c r="E890">
        <v>53</v>
      </c>
      <c r="F890">
        <v>0</v>
      </c>
      <c r="G890" t="s">
        <v>25</v>
      </c>
      <c r="H890" t="s">
        <v>19</v>
      </c>
      <c r="I890" t="s">
        <v>15</v>
      </c>
      <c r="J890" t="s">
        <v>20</v>
      </c>
      <c r="K890">
        <v>59837</v>
      </c>
      <c r="L890">
        <v>9</v>
      </c>
      <c r="M890" s="1">
        <v>45487</v>
      </c>
    </row>
    <row r="891" spans="1:13" x14ac:dyDescent="0.35">
      <c r="A891" t="s">
        <v>1426</v>
      </c>
      <c r="B891" t="s">
        <v>1427</v>
      </c>
      <c r="C891" t="s">
        <v>13</v>
      </c>
      <c r="D891">
        <v>47</v>
      </c>
      <c r="E891">
        <v>47</v>
      </c>
      <c r="F891">
        <v>0</v>
      </c>
      <c r="G891" t="s">
        <v>25</v>
      </c>
      <c r="H891" t="s">
        <v>19</v>
      </c>
      <c r="I891" t="s">
        <v>15</v>
      </c>
      <c r="J891" t="s">
        <v>37</v>
      </c>
      <c r="K891">
        <v>50806</v>
      </c>
      <c r="L891">
        <v>2</v>
      </c>
      <c r="M891" s="1">
        <v>45488</v>
      </c>
    </row>
    <row r="892" spans="1:13" x14ac:dyDescent="0.35">
      <c r="A892" t="s">
        <v>1428</v>
      </c>
      <c r="B892" t="s">
        <v>1225</v>
      </c>
      <c r="C892" t="s">
        <v>130</v>
      </c>
      <c r="D892">
        <v>1</v>
      </c>
      <c r="E892">
        <v>1</v>
      </c>
      <c r="F892">
        <v>0</v>
      </c>
      <c r="G892" t="s">
        <v>14</v>
      </c>
      <c r="H892" t="s">
        <v>99</v>
      </c>
      <c r="I892" t="s">
        <v>15</v>
      </c>
      <c r="J892" t="s">
        <v>26</v>
      </c>
      <c r="L892">
        <v>9</v>
      </c>
      <c r="M892" s="1">
        <v>45330</v>
      </c>
    </row>
    <row r="893" spans="1:13" x14ac:dyDescent="0.35">
      <c r="A893" t="s">
        <v>1429</v>
      </c>
      <c r="B893" t="s">
        <v>261</v>
      </c>
      <c r="C893" t="s">
        <v>69</v>
      </c>
      <c r="D893">
        <v>36</v>
      </c>
      <c r="E893">
        <v>36</v>
      </c>
      <c r="F893">
        <v>0</v>
      </c>
      <c r="G893" t="s">
        <v>14</v>
      </c>
      <c r="H893" t="s">
        <v>32</v>
      </c>
      <c r="I893" t="s">
        <v>105</v>
      </c>
      <c r="J893" t="s">
        <v>20</v>
      </c>
      <c r="K893">
        <v>60498</v>
      </c>
      <c r="L893">
        <v>2</v>
      </c>
      <c r="M893" s="1">
        <v>45481</v>
      </c>
    </row>
    <row r="894" spans="1:13" x14ac:dyDescent="0.35">
      <c r="A894" t="s">
        <v>1430</v>
      </c>
      <c r="B894" t="s">
        <v>1431</v>
      </c>
      <c r="C894" t="s">
        <v>130</v>
      </c>
      <c r="D894">
        <v>33</v>
      </c>
      <c r="E894">
        <v>33</v>
      </c>
      <c r="F894">
        <v>0</v>
      </c>
      <c r="G894" t="s">
        <v>14</v>
      </c>
      <c r="H894" t="s">
        <v>32</v>
      </c>
      <c r="I894" t="s">
        <v>88</v>
      </c>
      <c r="J894" t="s">
        <v>37</v>
      </c>
      <c r="K894">
        <v>30000</v>
      </c>
      <c r="L894">
        <v>6</v>
      </c>
      <c r="M894" s="1">
        <v>45317</v>
      </c>
    </row>
    <row r="895" spans="1:13" x14ac:dyDescent="0.35">
      <c r="A895" t="s">
        <v>1432</v>
      </c>
      <c r="B895" t="s">
        <v>237</v>
      </c>
      <c r="C895" t="s">
        <v>130</v>
      </c>
      <c r="D895">
        <v>35</v>
      </c>
      <c r="E895">
        <v>35</v>
      </c>
      <c r="F895">
        <v>0</v>
      </c>
      <c r="G895" t="s">
        <v>25</v>
      </c>
      <c r="H895" t="s">
        <v>32</v>
      </c>
      <c r="I895" t="s">
        <v>105</v>
      </c>
      <c r="J895" t="s">
        <v>26</v>
      </c>
      <c r="L895">
        <v>7</v>
      </c>
      <c r="M895" s="1">
        <v>45449</v>
      </c>
    </row>
    <row r="896" spans="1:13" x14ac:dyDescent="0.35">
      <c r="A896" t="s">
        <v>1433</v>
      </c>
      <c r="B896" t="s">
        <v>1434</v>
      </c>
      <c r="C896" t="s">
        <v>172</v>
      </c>
      <c r="D896">
        <v>33</v>
      </c>
      <c r="E896">
        <v>33</v>
      </c>
      <c r="F896">
        <v>0</v>
      </c>
      <c r="G896" t="s">
        <v>25</v>
      </c>
      <c r="H896" t="s">
        <v>58</v>
      </c>
      <c r="I896" t="s">
        <v>88</v>
      </c>
      <c r="J896" t="s">
        <v>20</v>
      </c>
      <c r="K896">
        <v>38827</v>
      </c>
      <c r="L896">
        <v>5</v>
      </c>
      <c r="M896" s="1">
        <v>45413</v>
      </c>
    </row>
    <row r="897" spans="1:13" x14ac:dyDescent="0.35">
      <c r="A897" t="s">
        <v>1435</v>
      </c>
      <c r="B897" t="s">
        <v>1436</v>
      </c>
      <c r="C897" t="s">
        <v>69</v>
      </c>
      <c r="D897">
        <v>30</v>
      </c>
      <c r="E897">
        <v>30</v>
      </c>
      <c r="F897">
        <v>0</v>
      </c>
      <c r="G897" t="s">
        <v>14</v>
      </c>
      <c r="H897" t="s">
        <v>19</v>
      </c>
      <c r="I897" t="s">
        <v>105</v>
      </c>
      <c r="J897" t="s">
        <v>37</v>
      </c>
      <c r="K897">
        <v>36635</v>
      </c>
      <c r="L897">
        <v>4</v>
      </c>
      <c r="M897" s="1">
        <v>45415</v>
      </c>
    </row>
    <row r="898" spans="1:13" x14ac:dyDescent="0.35">
      <c r="A898" t="s">
        <v>1437</v>
      </c>
      <c r="B898" t="s">
        <v>1368</v>
      </c>
      <c r="C898" t="s">
        <v>184</v>
      </c>
      <c r="D898">
        <v>40</v>
      </c>
      <c r="E898">
        <v>40</v>
      </c>
      <c r="F898">
        <v>0</v>
      </c>
      <c r="G898" t="s">
        <v>14</v>
      </c>
      <c r="H898" t="s">
        <v>19</v>
      </c>
      <c r="I898" t="s">
        <v>15</v>
      </c>
      <c r="J898" t="s">
        <v>40</v>
      </c>
      <c r="L898">
        <v>9</v>
      </c>
      <c r="M898" s="1">
        <v>45306</v>
      </c>
    </row>
    <row r="899" spans="1:13" x14ac:dyDescent="0.35">
      <c r="A899" t="s">
        <v>1438</v>
      </c>
      <c r="B899" t="s">
        <v>1380</v>
      </c>
      <c r="C899" t="s">
        <v>172</v>
      </c>
      <c r="D899">
        <v>13</v>
      </c>
      <c r="E899">
        <v>13</v>
      </c>
      <c r="F899">
        <v>0</v>
      </c>
      <c r="G899" t="s">
        <v>14</v>
      </c>
      <c r="H899" t="s">
        <v>99</v>
      </c>
      <c r="I899" t="s">
        <v>2154</v>
      </c>
      <c r="J899" t="s">
        <v>26</v>
      </c>
      <c r="L899">
        <v>2</v>
      </c>
      <c r="M899" s="1">
        <v>45520</v>
      </c>
    </row>
    <row r="900" spans="1:13" x14ac:dyDescent="0.35">
      <c r="A900" t="s">
        <v>1439</v>
      </c>
      <c r="B900" t="s">
        <v>1440</v>
      </c>
      <c r="C900" t="s">
        <v>117</v>
      </c>
      <c r="D900">
        <v>26</v>
      </c>
      <c r="E900">
        <v>26</v>
      </c>
      <c r="F900">
        <v>0</v>
      </c>
      <c r="G900" t="s">
        <v>14</v>
      </c>
      <c r="H900" t="s">
        <v>99</v>
      </c>
      <c r="I900" t="s">
        <v>2153</v>
      </c>
      <c r="J900" t="s">
        <v>20</v>
      </c>
      <c r="K900">
        <v>33729</v>
      </c>
      <c r="L900">
        <v>9</v>
      </c>
      <c r="M900" s="1">
        <v>45553</v>
      </c>
    </row>
    <row r="901" spans="1:13" x14ac:dyDescent="0.35">
      <c r="A901" t="s">
        <v>1441</v>
      </c>
      <c r="B901" t="s">
        <v>1442</v>
      </c>
      <c r="C901" t="s">
        <v>13</v>
      </c>
      <c r="D901">
        <v>34</v>
      </c>
      <c r="F901">
        <v>1</v>
      </c>
      <c r="G901" t="s">
        <v>14</v>
      </c>
      <c r="H901" t="s">
        <v>19</v>
      </c>
      <c r="I901" t="s">
        <v>88</v>
      </c>
      <c r="J901" t="s">
        <v>16</v>
      </c>
      <c r="L901">
        <v>6</v>
      </c>
      <c r="M901" s="1">
        <v>45373</v>
      </c>
    </row>
    <row r="902" spans="1:13" x14ac:dyDescent="0.35">
      <c r="A902" t="s">
        <v>1443</v>
      </c>
      <c r="B902" t="s">
        <v>1444</v>
      </c>
      <c r="C902" t="s">
        <v>69</v>
      </c>
      <c r="D902">
        <v>1</v>
      </c>
      <c r="E902">
        <v>1</v>
      </c>
      <c r="F902">
        <v>0</v>
      </c>
      <c r="G902" t="s">
        <v>25</v>
      </c>
      <c r="H902" t="s">
        <v>99</v>
      </c>
      <c r="I902" t="s">
        <v>88</v>
      </c>
      <c r="J902" t="s">
        <v>26</v>
      </c>
      <c r="L902">
        <v>5</v>
      </c>
      <c r="M902" s="1">
        <v>45582</v>
      </c>
    </row>
    <row r="903" spans="1:13" x14ac:dyDescent="0.35">
      <c r="A903" t="s">
        <v>1445</v>
      </c>
      <c r="B903" t="s">
        <v>954</v>
      </c>
      <c r="C903" t="s">
        <v>45</v>
      </c>
      <c r="D903">
        <v>23</v>
      </c>
      <c r="E903">
        <v>23</v>
      </c>
      <c r="F903">
        <v>0</v>
      </c>
      <c r="G903" t="s">
        <v>25</v>
      </c>
      <c r="H903" t="s">
        <v>32</v>
      </c>
      <c r="I903" t="s">
        <v>2153</v>
      </c>
      <c r="J903" t="s">
        <v>16</v>
      </c>
      <c r="L903">
        <v>2</v>
      </c>
      <c r="M903" s="1">
        <v>45440</v>
      </c>
    </row>
    <row r="904" spans="1:13" x14ac:dyDescent="0.35">
      <c r="A904" t="s">
        <v>1446</v>
      </c>
      <c r="B904" t="s">
        <v>225</v>
      </c>
      <c r="C904" t="s">
        <v>184</v>
      </c>
      <c r="D904">
        <v>13</v>
      </c>
      <c r="E904">
        <v>13</v>
      </c>
      <c r="F904">
        <v>0</v>
      </c>
      <c r="G904" t="s">
        <v>14</v>
      </c>
      <c r="H904" t="s">
        <v>99</v>
      </c>
      <c r="I904" t="s">
        <v>15</v>
      </c>
      <c r="J904" t="s">
        <v>26</v>
      </c>
      <c r="L904">
        <v>7</v>
      </c>
      <c r="M904" s="1">
        <v>45415</v>
      </c>
    </row>
    <row r="905" spans="1:13" x14ac:dyDescent="0.35">
      <c r="A905" t="s">
        <v>1447</v>
      </c>
      <c r="B905" t="s">
        <v>1448</v>
      </c>
      <c r="C905" t="s">
        <v>172</v>
      </c>
      <c r="D905">
        <v>41</v>
      </c>
      <c r="E905">
        <v>41</v>
      </c>
      <c r="F905">
        <v>0</v>
      </c>
      <c r="G905" t="s">
        <v>14</v>
      </c>
      <c r="H905" t="s">
        <v>58</v>
      </c>
      <c r="I905" t="s">
        <v>105</v>
      </c>
      <c r="J905" t="s">
        <v>16</v>
      </c>
      <c r="L905">
        <v>6</v>
      </c>
      <c r="M905" s="1">
        <v>45552</v>
      </c>
    </row>
    <row r="906" spans="1:13" x14ac:dyDescent="0.35">
      <c r="A906" t="s">
        <v>1449</v>
      </c>
      <c r="B906" t="s">
        <v>714</v>
      </c>
      <c r="C906" t="s">
        <v>45</v>
      </c>
      <c r="D906">
        <v>38</v>
      </c>
      <c r="E906">
        <v>38</v>
      </c>
      <c r="F906">
        <v>0</v>
      </c>
      <c r="G906" t="s">
        <v>14</v>
      </c>
      <c r="H906" t="s">
        <v>58</v>
      </c>
      <c r="I906" t="s">
        <v>15</v>
      </c>
      <c r="J906" t="s">
        <v>20</v>
      </c>
      <c r="K906">
        <v>42225</v>
      </c>
      <c r="L906">
        <v>4</v>
      </c>
      <c r="M906" s="1">
        <v>45400</v>
      </c>
    </row>
    <row r="907" spans="1:13" x14ac:dyDescent="0.35">
      <c r="A907" t="s">
        <v>1450</v>
      </c>
      <c r="B907" t="s">
        <v>618</v>
      </c>
      <c r="C907" t="s">
        <v>117</v>
      </c>
      <c r="D907">
        <v>35</v>
      </c>
      <c r="E907">
        <v>35</v>
      </c>
      <c r="F907">
        <v>0</v>
      </c>
      <c r="G907" t="s">
        <v>25</v>
      </c>
      <c r="H907" t="s">
        <v>99</v>
      </c>
      <c r="I907" t="s">
        <v>15</v>
      </c>
      <c r="J907" t="s">
        <v>20</v>
      </c>
      <c r="K907">
        <v>32577</v>
      </c>
      <c r="L907">
        <v>1</v>
      </c>
      <c r="M907" s="1">
        <v>45490</v>
      </c>
    </row>
    <row r="908" spans="1:13" x14ac:dyDescent="0.35">
      <c r="A908" t="s">
        <v>1451</v>
      </c>
      <c r="B908" t="s">
        <v>1452</v>
      </c>
      <c r="C908" t="s">
        <v>119</v>
      </c>
      <c r="D908">
        <v>34</v>
      </c>
      <c r="E908">
        <v>34</v>
      </c>
      <c r="F908">
        <v>0</v>
      </c>
      <c r="G908" t="s">
        <v>25</v>
      </c>
      <c r="H908" t="s">
        <v>19</v>
      </c>
      <c r="I908" t="s">
        <v>105</v>
      </c>
      <c r="J908" t="s">
        <v>37</v>
      </c>
      <c r="K908">
        <v>48748</v>
      </c>
      <c r="L908">
        <v>4</v>
      </c>
      <c r="M908" s="1">
        <v>45561</v>
      </c>
    </row>
    <row r="909" spans="1:13" x14ac:dyDescent="0.35">
      <c r="A909" t="s">
        <v>1453</v>
      </c>
      <c r="B909" t="s">
        <v>531</v>
      </c>
      <c r="C909" t="s">
        <v>184</v>
      </c>
      <c r="D909">
        <v>33</v>
      </c>
      <c r="E909">
        <v>33</v>
      </c>
      <c r="F909">
        <v>0</v>
      </c>
      <c r="G909" t="s">
        <v>14</v>
      </c>
      <c r="H909" t="s">
        <v>19</v>
      </c>
      <c r="I909" t="s">
        <v>15</v>
      </c>
      <c r="J909" t="s">
        <v>37</v>
      </c>
      <c r="K909">
        <v>68288</v>
      </c>
      <c r="L909">
        <v>7</v>
      </c>
      <c r="M909" s="1">
        <v>45524</v>
      </c>
    </row>
    <row r="910" spans="1:13" x14ac:dyDescent="0.35">
      <c r="A910" t="s">
        <v>1454</v>
      </c>
      <c r="B910" t="s">
        <v>1455</v>
      </c>
      <c r="C910" t="s">
        <v>13</v>
      </c>
      <c r="D910">
        <v>37</v>
      </c>
      <c r="E910">
        <v>37</v>
      </c>
      <c r="F910">
        <v>0</v>
      </c>
      <c r="G910" t="s">
        <v>25</v>
      </c>
      <c r="H910" t="s">
        <v>32</v>
      </c>
      <c r="I910" t="s">
        <v>88</v>
      </c>
      <c r="J910" t="s">
        <v>16</v>
      </c>
      <c r="L910">
        <v>1</v>
      </c>
      <c r="M910" s="1">
        <v>45583</v>
      </c>
    </row>
    <row r="911" spans="1:13" x14ac:dyDescent="0.35">
      <c r="A911" t="s">
        <v>1456</v>
      </c>
      <c r="B911" t="s">
        <v>1457</v>
      </c>
      <c r="C911" t="s">
        <v>13</v>
      </c>
      <c r="D911">
        <v>23</v>
      </c>
      <c r="E911">
        <v>23</v>
      </c>
      <c r="F911">
        <v>0</v>
      </c>
      <c r="G911" t="s">
        <v>14</v>
      </c>
      <c r="H911" t="s">
        <v>19</v>
      </c>
      <c r="I911" t="s">
        <v>105</v>
      </c>
      <c r="J911" t="s">
        <v>26</v>
      </c>
      <c r="L911">
        <v>2</v>
      </c>
      <c r="M911" s="1">
        <v>45419</v>
      </c>
    </row>
    <row r="912" spans="1:13" x14ac:dyDescent="0.35">
      <c r="A912" t="s">
        <v>1458</v>
      </c>
      <c r="B912" t="s">
        <v>2181</v>
      </c>
      <c r="C912" t="s">
        <v>172</v>
      </c>
      <c r="D912">
        <v>12</v>
      </c>
      <c r="E912">
        <v>12</v>
      </c>
      <c r="F912">
        <v>0</v>
      </c>
      <c r="G912" t="s">
        <v>14</v>
      </c>
      <c r="H912" t="s">
        <v>99</v>
      </c>
      <c r="I912" t="s">
        <v>88</v>
      </c>
      <c r="J912" t="s">
        <v>26</v>
      </c>
      <c r="L912">
        <v>5</v>
      </c>
      <c r="M912" s="1">
        <v>45379</v>
      </c>
    </row>
    <row r="913" spans="1:13" x14ac:dyDescent="0.35">
      <c r="A913" t="s">
        <v>1459</v>
      </c>
      <c r="B913" t="s">
        <v>1460</v>
      </c>
      <c r="C913" t="s">
        <v>13</v>
      </c>
      <c r="D913">
        <v>66</v>
      </c>
      <c r="E913">
        <v>66</v>
      </c>
      <c r="F913">
        <v>0</v>
      </c>
      <c r="G913" t="s">
        <v>14</v>
      </c>
      <c r="H913" t="s">
        <v>32</v>
      </c>
      <c r="I913" t="s">
        <v>88</v>
      </c>
      <c r="J913" t="s">
        <v>37</v>
      </c>
      <c r="K913">
        <v>138209</v>
      </c>
      <c r="L913">
        <v>7</v>
      </c>
      <c r="M913" s="1">
        <v>45565</v>
      </c>
    </row>
    <row r="914" spans="1:13" x14ac:dyDescent="0.35">
      <c r="A914" t="s">
        <v>1461</v>
      </c>
      <c r="B914" t="s">
        <v>614</v>
      </c>
      <c r="C914" t="s">
        <v>45</v>
      </c>
      <c r="D914">
        <v>55</v>
      </c>
      <c r="E914">
        <v>55</v>
      </c>
      <c r="F914">
        <v>0</v>
      </c>
      <c r="G914" t="s">
        <v>25</v>
      </c>
      <c r="H914" t="s">
        <v>19</v>
      </c>
      <c r="I914" t="s">
        <v>88</v>
      </c>
      <c r="J914" t="s">
        <v>26</v>
      </c>
      <c r="L914">
        <v>1</v>
      </c>
      <c r="M914" s="1">
        <v>45322</v>
      </c>
    </row>
    <row r="915" spans="1:13" x14ac:dyDescent="0.35">
      <c r="A915" t="s">
        <v>1462</v>
      </c>
      <c r="B915" t="s">
        <v>758</v>
      </c>
      <c r="C915" t="s">
        <v>13</v>
      </c>
      <c r="D915">
        <v>39</v>
      </c>
      <c r="E915">
        <v>39</v>
      </c>
      <c r="F915">
        <v>0</v>
      </c>
      <c r="G915" t="s">
        <v>25</v>
      </c>
      <c r="H915" t="s">
        <v>58</v>
      </c>
      <c r="I915" t="s">
        <v>88</v>
      </c>
      <c r="J915" t="s">
        <v>16</v>
      </c>
      <c r="L915">
        <v>9</v>
      </c>
      <c r="M915" s="1">
        <v>45446</v>
      </c>
    </row>
    <row r="916" spans="1:13" x14ac:dyDescent="0.35">
      <c r="A916" t="s">
        <v>1463</v>
      </c>
      <c r="B916" t="s">
        <v>1464</v>
      </c>
      <c r="C916" t="s">
        <v>45</v>
      </c>
      <c r="D916">
        <v>22</v>
      </c>
      <c r="E916">
        <v>22</v>
      </c>
      <c r="F916">
        <v>0</v>
      </c>
      <c r="G916" t="s">
        <v>14</v>
      </c>
      <c r="H916" t="s">
        <v>99</v>
      </c>
      <c r="I916" t="s">
        <v>88</v>
      </c>
      <c r="J916" t="s">
        <v>26</v>
      </c>
      <c r="L916">
        <v>5</v>
      </c>
      <c r="M916" s="1">
        <v>45532</v>
      </c>
    </row>
    <row r="917" spans="1:13" x14ac:dyDescent="0.35">
      <c r="A917" t="s">
        <v>1465</v>
      </c>
      <c r="B917" t="s">
        <v>1466</v>
      </c>
      <c r="C917" t="s">
        <v>119</v>
      </c>
      <c r="D917">
        <v>30</v>
      </c>
      <c r="E917">
        <v>30</v>
      </c>
      <c r="F917">
        <v>0</v>
      </c>
      <c r="G917" t="s">
        <v>14</v>
      </c>
      <c r="H917" t="s">
        <v>58</v>
      </c>
      <c r="I917" t="s">
        <v>105</v>
      </c>
      <c r="J917" t="s">
        <v>37</v>
      </c>
      <c r="K917">
        <v>61248</v>
      </c>
      <c r="L917">
        <v>8</v>
      </c>
      <c r="M917" s="1">
        <v>45408</v>
      </c>
    </row>
    <row r="918" spans="1:13" x14ac:dyDescent="0.35">
      <c r="A918" t="s">
        <v>1467</v>
      </c>
      <c r="B918" t="s">
        <v>374</v>
      </c>
      <c r="C918" t="s">
        <v>172</v>
      </c>
      <c r="D918">
        <v>37</v>
      </c>
      <c r="E918">
        <v>37</v>
      </c>
      <c r="F918">
        <v>0</v>
      </c>
      <c r="G918" t="s">
        <v>14</v>
      </c>
      <c r="H918" t="s">
        <v>58</v>
      </c>
      <c r="I918" t="s">
        <v>105</v>
      </c>
      <c r="J918" t="s">
        <v>20</v>
      </c>
      <c r="K918">
        <v>37211</v>
      </c>
      <c r="L918">
        <v>6</v>
      </c>
      <c r="M918" s="1">
        <v>45588</v>
      </c>
    </row>
    <row r="919" spans="1:13" x14ac:dyDescent="0.35">
      <c r="A919" t="s">
        <v>1468</v>
      </c>
      <c r="B919" t="s">
        <v>1228</v>
      </c>
      <c r="C919" t="s">
        <v>130</v>
      </c>
      <c r="D919">
        <v>5</v>
      </c>
      <c r="E919">
        <v>5</v>
      </c>
      <c r="F919">
        <v>0</v>
      </c>
      <c r="G919" t="s">
        <v>14</v>
      </c>
      <c r="H919" t="s">
        <v>99</v>
      </c>
      <c r="I919" t="s">
        <v>88</v>
      </c>
      <c r="J919" t="s">
        <v>26</v>
      </c>
      <c r="L919">
        <v>9</v>
      </c>
      <c r="M919" s="1">
        <v>45386</v>
      </c>
    </row>
    <row r="920" spans="1:13" x14ac:dyDescent="0.35">
      <c r="A920" t="s">
        <v>1469</v>
      </c>
      <c r="B920" t="s">
        <v>941</v>
      </c>
      <c r="C920" t="s">
        <v>184</v>
      </c>
      <c r="D920">
        <v>29</v>
      </c>
      <c r="E920">
        <v>29</v>
      </c>
      <c r="F920">
        <v>0</v>
      </c>
      <c r="G920" t="s">
        <v>14</v>
      </c>
      <c r="H920" t="s">
        <v>99</v>
      </c>
      <c r="I920" t="s">
        <v>15</v>
      </c>
      <c r="J920" t="s">
        <v>26</v>
      </c>
      <c r="L920">
        <v>3</v>
      </c>
      <c r="M920" s="1">
        <v>45513</v>
      </c>
    </row>
    <row r="921" spans="1:13" x14ac:dyDescent="0.35">
      <c r="A921" t="s">
        <v>1470</v>
      </c>
      <c r="B921" t="s">
        <v>1407</v>
      </c>
      <c r="C921" t="s">
        <v>119</v>
      </c>
      <c r="D921">
        <v>11</v>
      </c>
      <c r="E921">
        <v>11</v>
      </c>
      <c r="F921">
        <v>0</v>
      </c>
      <c r="G921" t="s">
        <v>25</v>
      </c>
      <c r="H921" t="s">
        <v>99</v>
      </c>
      <c r="I921" t="s">
        <v>15</v>
      </c>
      <c r="J921" t="s">
        <v>26</v>
      </c>
      <c r="L921">
        <v>8</v>
      </c>
      <c r="M921" s="1">
        <v>45566</v>
      </c>
    </row>
    <row r="922" spans="1:13" x14ac:dyDescent="0.35">
      <c r="A922" t="s">
        <v>1471</v>
      </c>
      <c r="B922" t="s">
        <v>186</v>
      </c>
      <c r="C922" t="s">
        <v>154</v>
      </c>
      <c r="D922">
        <v>28</v>
      </c>
      <c r="E922">
        <v>28</v>
      </c>
      <c r="F922">
        <v>0</v>
      </c>
      <c r="G922" t="s">
        <v>25</v>
      </c>
      <c r="H922" t="s">
        <v>19</v>
      </c>
      <c r="I922" t="s">
        <v>105</v>
      </c>
      <c r="J922" t="s">
        <v>26</v>
      </c>
      <c r="L922">
        <v>5</v>
      </c>
      <c r="M922" s="1">
        <v>45376</v>
      </c>
    </row>
    <row r="923" spans="1:13" x14ac:dyDescent="0.35">
      <c r="A923" t="s">
        <v>1472</v>
      </c>
      <c r="B923" t="s">
        <v>1473</v>
      </c>
      <c r="C923" t="s">
        <v>130</v>
      </c>
      <c r="D923">
        <v>19</v>
      </c>
      <c r="E923">
        <v>19</v>
      </c>
      <c r="F923">
        <v>0</v>
      </c>
      <c r="G923" t="s">
        <v>14</v>
      </c>
      <c r="H923" t="s">
        <v>99</v>
      </c>
      <c r="I923" t="s">
        <v>2154</v>
      </c>
      <c r="J923" t="s">
        <v>26</v>
      </c>
      <c r="L923">
        <v>3</v>
      </c>
      <c r="M923" s="1">
        <v>45375</v>
      </c>
    </row>
    <row r="924" spans="1:13" x14ac:dyDescent="0.35">
      <c r="A924" t="s">
        <v>1474</v>
      </c>
      <c r="B924" t="s">
        <v>1442</v>
      </c>
      <c r="C924" t="s">
        <v>45</v>
      </c>
      <c r="D924">
        <v>50</v>
      </c>
      <c r="E924">
        <v>50</v>
      </c>
      <c r="F924">
        <v>0</v>
      </c>
      <c r="G924" t="s">
        <v>14</v>
      </c>
      <c r="H924" t="s">
        <v>32</v>
      </c>
      <c r="I924" t="s">
        <v>15</v>
      </c>
      <c r="J924" t="s">
        <v>37</v>
      </c>
      <c r="K924">
        <v>30000</v>
      </c>
      <c r="L924">
        <v>7</v>
      </c>
      <c r="M924" s="1">
        <v>45462</v>
      </c>
    </row>
    <row r="925" spans="1:13" x14ac:dyDescent="0.35">
      <c r="A925" t="s">
        <v>1475</v>
      </c>
      <c r="B925" t="s">
        <v>101</v>
      </c>
      <c r="C925" t="s">
        <v>29</v>
      </c>
      <c r="D925">
        <v>35</v>
      </c>
      <c r="E925">
        <v>35</v>
      </c>
      <c r="F925">
        <v>0</v>
      </c>
      <c r="G925" t="s">
        <v>25</v>
      </c>
      <c r="H925" t="s">
        <v>19</v>
      </c>
      <c r="I925" t="s">
        <v>2153</v>
      </c>
      <c r="J925" t="s">
        <v>37</v>
      </c>
      <c r="K925">
        <v>53955</v>
      </c>
      <c r="L925">
        <v>1</v>
      </c>
      <c r="M925" s="1">
        <v>45498</v>
      </c>
    </row>
    <row r="926" spans="1:13" x14ac:dyDescent="0.35">
      <c r="A926" t="s">
        <v>1476</v>
      </c>
      <c r="B926" t="s">
        <v>1477</v>
      </c>
      <c r="C926" t="s">
        <v>45</v>
      </c>
      <c r="D926">
        <v>40</v>
      </c>
      <c r="E926">
        <v>40</v>
      </c>
      <c r="F926">
        <v>0</v>
      </c>
      <c r="G926" t="s">
        <v>25</v>
      </c>
      <c r="H926" t="s">
        <v>32</v>
      </c>
      <c r="I926" t="s">
        <v>88</v>
      </c>
      <c r="J926" t="s">
        <v>37</v>
      </c>
      <c r="K926">
        <v>30000</v>
      </c>
      <c r="L926">
        <v>4</v>
      </c>
      <c r="M926" s="1">
        <v>45400</v>
      </c>
    </row>
    <row r="927" spans="1:13" x14ac:dyDescent="0.35">
      <c r="A927" t="s">
        <v>1478</v>
      </c>
      <c r="B927" t="s">
        <v>1082</v>
      </c>
      <c r="C927" t="s">
        <v>45</v>
      </c>
      <c r="D927">
        <v>19</v>
      </c>
      <c r="E927">
        <v>19</v>
      </c>
      <c r="F927">
        <v>0</v>
      </c>
      <c r="G927" t="s">
        <v>25</v>
      </c>
      <c r="H927" t="s">
        <v>58</v>
      </c>
      <c r="I927" t="s">
        <v>105</v>
      </c>
      <c r="J927" t="s">
        <v>40</v>
      </c>
      <c r="L927">
        <v>6</v>
      </c>
      <c r="M927" s="1">
        <v>45527</v>
      </c>
    </row>
    <row r="928" spans="1:13" x14ac:dyDescent="0.35">
      <c r="A928" t="s">
        <v>1479</v>
      </c>
      <c r="B928" t="s">
        <v>557</v>
      </c>
      <c r="C928" t="s">
        <v>117</v>
      </c>
      <c r="D928">
        <v>39</v>
      </c>
      <c r="E928">
        <v>39</v>
      </c>
      <c r="F928">
        <v>0</v>
      </c>
      <c r="G928" t="s">
        <v>14</v>
      </c>
      <c r="H928" t="s">
        <v>58</v>
      </c>
      <c r="I928" t="s">
        <v>15</v>
      </c>
      <c r="J928" t="s">
        <v>37</v>
      </c>
      <c r="K928">
        <v>102395</v>
      </c>
      <c r="L928">
        <v>6</v>
      </c>
      <c r="M928" s="1">
        <v>45298</v>
      </c>
    </row>
    <row r="929" spans="1:13" x14ac:dyDescent="0.35">
      <c r="A929" t="s">
        <v>1480</v>
      </c>
      <c r="B929" t="s">
        <v>1481</v>
      </c>
      <c r="C929" t="s">
        <v>130</v>
      </c>
      <c r="D929">
        <v>57</v>
      </c>
      <c r="E929">
        <v>57</v>
      </c>
      <c r="F929">
        <v>0</v>
      </c>
      <c r="G929" t="s">
        <v>14</v>
      </c>
      <c r="H929" t="s">
        <v>32</v>
      </c>
      <c r="I929" t="s">
        <v>15</v>
      </c>
      <c r="J929" t="s">
        <v>26</v>
      </c>
      <c r="L929">
        <v>1</v>
      </c>
      <c r="M929" s="1">
        <v>45372</v>
      </c>
    </row>
    <row r="930" spans="1:13" x14ac:dyDescent="0.35">
      <c r="A930" t="s">
        <v>2182</v>
      </c>
      <c r="B930" t="s">
        <v>781</v>
      </c>
      <c r="C930" t="s">
        <v>130</v>
      </c>
      <c r="D930">
        <v>24</v>
      </c>
      <c r="E930">
        <v>24</v>
      </c>
      <c r="F930">
        <v>0</v>
      </c>
      <c r="G930" t="s">
        <v>14</v>
      </c>
      <c r="H930" t="s">
        <v>99</v>
      </c>
      <c r="I930" t="s">
        <v>2153</v>
      </c>
      <c r="J930" t="s">
        <v>20</v>
      </c>
      <c r="K930">
        <v>90941</v>
      </c>
      <c r="L930">
        <v>4</v>
      </c>
      <c r="M930" s="1">
        <v>45474</v>
      </c>
    </row>
    <row r="931" spans="1:13" x14ac:dyDescent="0.35">
      <c r="A931" t="s">
        <v>1482</v>
      </c>
      <c r="B931" t="s">
        <v>387</v>
      </c>
      <c r="C931" t="s">
        <v>69</v>
      </c>
      <c r="D931">
        <v>1</v>
      </c>
      <c r="E931">
        <v>1</v>
      </c>
      <c r="F931">
        <v>0</v>
      </c>
      <c r="G931" t="s">
        <v>14</v>
      </c>
      <c r="H931" t="s">
        <v>99</v>
      </c>
      <c r="I931" t="s">
        <v>105</v>
      </c>
      <c r="J931" t="s">
        <v>26</v>
      </c>
      <c r="L931">
        <v>9</v>
      </c>
      <c r="M931" s="1">
        <v>45425</v>
      </c>
    </row>
    <row r="932" spans="1:13" x14ac:dyDescent="0.35">
      <c r="A932" t="s">
        <v>1483</v>
      </c>
      <c r="B932" t="s">
        <v>1484</v>
      </c>
      <c r="C932" t="s">
        <v>45</v>
      </c>
      <c r="D932">
        <v>51</v>
      </c>
      <c r="E932">
        <v>51</v>
      </c>
      <c r="F932">
        <v>0</v>
      </c>
      <c r="G932" t="s">
        <v>14</v>
      </c>
      <c r="H932" t="s">
        <v>99</v>
      </c>
      <c r="I932" t="s">
        <v>2153</v>
      </c>
      <c r="J932" t="s">
        <v>16</v>
      </c>
      <c r="L932">
        <v>4</v>
      </c>
      <c r="M932" s="1">
        <v>45338</v>
      </c>
    </row>
    <row r="933" spans="1:13" x14ac:dyDescent="0.35">
      <c r="A933" t="s">
        <v>1485</v>
      </c>
      <c r="B933" t="s">
        <v>465</v>
      </c>
      <c r="C933" t="s">
        <v>172</v>
      </c>
      <c r="D933">
        <v>36</v>
      </c>
      <c r="E933">
        <v>36</v>
      </c>
      <c r="F933">
        <v>0</v>
      </c>
      <c r="G933" t="s">
        <v>25</v>
      </c>
      <c r="H933" t="s">
        <v>58</v>
      </c>
      <c r="I933" t="s">
        <v>15</v>
      </c>
      <c r="J933" t="s">
        <v>20</v>
      </c>
      <c r="K933">
        <v>113006</v>
      </c>
      <c r="L933">
        <v>1</v>
      </c>
      <c r="M933" s="1">
        <v>45565</v>
      </c>
    </row>
    <row r="934" spans="1:13" x14ac:dyDescent="0.35">
      <c r="A934" t="s">
        <v>1486</v>
      </c>
      <c r="B934" t="s">
        <v>1487</v>
      </c>
      <c r="C934" t="s">
        <v>13</v>
      </c>
      <c r="D934">
        <v>35</v>
      </c>
      <c r="E934">
        <v>35</v>
      </c>
      <c r="F934">
        <v>0</v>
      </c>
      <c r="G934" t="s">
        <v>14</v>
      </c>
      <c r="H934" t="s">
        <v>58</v>
      </c>
      <c r="I934" t="s">
        <v>15</v>
      </c>
      <c r="J934" t="s">
        <v>26</v>
      </c>
      <c r="L934">
        <v>3</v>
      </c>
      <c r="M934" s="1">
        <v>45454</v>
      </c>
    </row>
    <row r="935" spans="1:13" x14ac:dyDescent="0.35">
      <c r="A935" t="s">
        <v>1488</v>
      </c>
      <c r="B935" t="s">
        <v>1079</v>
      </c>
      <c r="C935" t="s">
        <v>13</v>
      </c>
      <c r="D935">
        <v>61</v>
      </c>
      <c r="E935">
        <v>61</v>
      </c>
      <c r="F935">
        <v>0</v>
      </c>
      <c r="G935" t="s">
        <v>14</v>
      </c>
      <c r="H935" t="s">
        <v>99</v>
      </c>
      <c r="I935" t="s">
        <v>105</v>
      </c>
      <c r="J935" t="s">
        <v>16</v>
      </c>
      <c r="L935">
        <v>6</v>
      </c>
      <c r="M935" s="1">
        <v>45385</v>
      </c>
    </row>
    <row r="936" spans="1:13" x14ac:dyDescent="0.35">
      <c r="A936" t="s">
        <v>1489</v>
      </c>
      <c r="B936" t="s">
        <v>519</v>
      </c>
      <c r="C936" t="s">
        <v>45</v>
      </c>
      <c r="D936">
        <v>18</v>
      </c>
      <c r="E936">
        <v>18</v>
      </c>
      <c r="F936">
        <v>0</v>
      </c>
      <c r="G936" t="s">
        <v>25</v>
      </c>
      <c r="H936" t="s">
        <v>99</v>
      </c>
      <c r="I936" t="s">
        <v>15</v>
      </c>
      <c r="J936" t="s">
        <v>26</v>
      </c>
      <c r="L936">
        <v>2</v>
      </c>
      <c r="M936" s="1">
        <v>45582</v>
      </c>
    </row>
    <row r="937" spans="1:13" x14ac:dyDescent="0.35">
      <c r="A937" t="s">
        <v>1490</v>
      </c>
      <c r="B937" t="s">
        <v>943</v>
      </c>
      <c r="C937" t="s">
        <v>45</v>
      </c>
      <c r="D937">
        <v>43</v>
      </c>
      <c r="E937">
        <v>43</v>
      </c>
      <c r="F937">
        <v>0</v>
      </c>
      <c r="G937" t="s">
        <v>25</v>
      </c>
      <c r="H937" t="s">
        <v>32</v>
      </c>
      <c r="I937" t="s">
        <v>105</v>
      </c>
      <c r="J937" t="s">
        <v>26</v>
      </c>
      <c r="L937">
        <v>4</v>
      </c>
      <c r="M937" s="1">
        <v>45299</v>
      </c>
    </row>
    <row r="938" spans="1:13" x14ac:dyDescent="0.35">
      <c r="A938" t="s">
        <v>1491</v>
      </c>
      <c r="B938" t="s">
        <v>1492</v>
      </c>
      <c r="C938" t="s">
        <v>154</v>
      </c>
      <c r="D938">
        <v>17</v>
      </c>
      <c r="E938">
        <v>17</v>
      </c>
      <c r="F938">
        <v>0</v>
      </c>
      <c r="G938" t="s">
        <v>14</v>
      </c>
      <c r="H938" t="s">
        <v>19</v>
      </c>
      <c r="I938" t="s">
        <v>2154</v>
      </c>
      <c r="J938" t="s">
        <v>20</v>
      </c>
      <c r="K938">
        <v>30000</v>
      </c>
      <c r="L938">
        <v>1</v>
      </c>
      <c r="M938" s="1">
        <v>45461</v>
      </c>
    </row>
    <row r="939" spans="1:13" x14ac:dyDescent="0.35">
      <c r="A939" t="s">
        <v>1493</v>
      </c>
      <c r="B939" t="s">
        <v>679</v>
      </c>
      <c r="C939" t="s">
        <v>154</v>
      </c>
      <c r="D939">
        <v>48</v>
      </c>
      <c r="E939">
        <v>48</v>
      </c>
      <c r="F939">
        <v>0</v>
      </c>
      <c r="G939" t="s">
        <v>25</v>
      </c>
      <c r="H939" t="s">
        <v>99</v>
      </c>
      <c r="I939" t="s">
        <v>88</v>
      </c>
      <c r="J939" t="s">
        <v>37</v>
      </c>
      <c r="K939">
        <v>44135</v>
      </c>
      <c r="L939">
        <v>6</v>
      </c>
      <c r="M939" s="1">
        <v>45347</v>
      </c>
    </row>
    <row r="940" spans="1:13" x14ac:dyDescent="0.35">
      <c r="A940" t="s">
        <v>1494</v>
      </c>
      <c r="B940" t="s">
        <v>545</v>
      </c>
      <c r="C940" t="s">
        <v>69</v>
      </c>
      <c r="D940">
        <v>52</v>
      </c>
      <c r="E940">
        <v>52</v>
      </c>
      <c r="F940">
        <v>0</v>
      </c>
      <c r="G940" t="s">
        <v>14</v>
      </c>
      <c r="H940" t="s">
        <v>99</v>
      </c>
      <c r="I940" t="s">
        <v>2153</v>
      </c>
      <c r="J940" t="s">
        <v>20</v>
      </c>
      <c r="K940">
        <v>32725</v>
      </c>
      <c r="L940">
        <v>2</v>
      </c>
      <c r="M940" s="1">
        <v>45382</v>
      </c>
    </row>
    <row r="941" spans="1:13" x14ac:dyDescent="0.35">
      <c r="A941" t="s">
        <v>1495</v>
      </c>
      <c r="B941" t="s">
        <v>592</v>
      </c>
      <c r="C941" t="s">
        <v>29</v>
      </c>
      <c r="D941">
        <v>31</v>
      </c>
      <c r="E941">
        <v>31</v>
      </c>
      <c r="F941">
        <v>0</v>
      </c>
      <c r="G941" t="s">
        <v>14</v>
      </c>
      <c r="H941" t="s">
        <v>58</v>
      </c>
      <c r="I941" t="s">
        <v>15</v>
      </c>
      <c r="J941" t="s">
        <v>37</v>
      </c>
      <c r="K941">
        <v>52689</v>
      </c>
      <c r="L941">
        <v>7</v>
      </c>
      <c r="M941" s="1">
        <v>45412</v>
      </c>
    </row>
    <row r="942" spans="1:13" x14ac:dyDescent="0.35">
      <c r="A942" t="s">
        <v>1496</v>
      </c>
      <c r="B942" t="s">
        <v>112</v>
      </c>
      <c r="C942" t="s">
        <v>184</v>
      </c>
      <c r="D942">
        <v>42</v>
      </c>
      <c r="E942">
        <v>42</v>
      </c>
      <c r="F942">
        <v>0</v>
      </c>
      <c r="G942" t="s">
        <v>25</v>
      </c>
      <c r="H942" t="s">
        <v>19</v>
      </c>
      <c r="I942" t="s">
        <v>105</v>
      </c>
      <c r="J942" t="s">
        <v>40</v>
      </c>
      <c r="L942">
        <v>9</v>
      </c>
      <c r="M942" s="1">
        <v>45316</v>
      </c>
    </row>
    <row r="943" spans="1:13" x14ac:dyDescent="0.35">
      <c r="A943" t="s">
        <v>1497</v>
      </c>
      <c r="B943" t="s">
        <v>902</v>
      </c>
      <c r="C943" t="s">
        <v>184</v>
      </c>
      <c r="D943">
        <v>30</v>
      </c>
      <c r="E943">
        <v>30</v>
      </c>
      <c r="F943">
        <v>0</v>
      </c>
      <c r="G943" t="s">
        <v>25</v>
      </c>
      <c r="H943" t="s">
        <v>19</v>
      </c>
      <c r="I943" t="s">
        <v>88</v>
      </c>
      <c r="J943" t="s">
        <v>20</v>
      </c>
      <c r="K943">
        <v>30000</v>
      </c>
      <c r="L943">
        <v>8</v>
      </c>
      <c r="M943" s="1">
        <v>45443</v>
      </c>
    </row>
    <row r="944" spans="1:13" x14ac:dyDescent="0.35">
      <c r="A944" t="s">
        <v>1498</v>
      </c>
      <c r="B944" t="s">
        <v>1209</v>
      </c>
      <c r="C944" t="s">
        <v>29</v>
      </c>
      <c r="D944">
        <v>27</v>
      </c>
      <c r="E944">
        <v>27</v>
      </c>
      <c r="F944">
        <v>0</v>
      </c>
      <c r="G944" t="s">
        <v>14</v>
      </c>
      <c r="H944" t="s">
        <v>58</v>
      </c>
      <c r="I944" t="s">
        <v>105</v>
      </c>
      <c r="J944" t="s">
        <v>37</v>
      </c>
      <c r="K944">
        <v>30000</v>
      </c>
      <c r="L944">
        <v>6</v>
      </c>
      <c r="M944" s="1">
        <v>45377</v>
      </c>
    </row>
    <row r="945" spans="1:13" x14ac:dyDescent="0.35">
      <c r="A945" t="s">
        <v>1499</v>
      </c>
      <c r="B945" t="s">
        <v>1500</v>
      </c>
      <c r="C945" t="s">
        <v>29</v>
      </c>
      <c r="D945">
        <v>28</v>
      </c>
      <c r="E945">
        <v>28</v>
      </c>
      <c r="F945">
        <v>0</v>
      </c>
      <c r="G945" t="s">
        <v>25</v>
      </c>
      <c r="H945" t="s">
        <v>19</v>
      </c>
      <c r="I945" t="s">
        <v>2153</v>
      </c>
      <c r="J945" t="s">
        <v>40</v>
      </c>
      <c r="L945">
        <v>4</v>
      </c>
      <c r="M945" s="1">
        <v>45493</v>
      </c>
    </row>
    <row r="946" spans="1:13" x14ac:dyDescent="0.35">
      <c r="A946" t="s">
        <v>1501</v>
      </c>
      <c r="B946" t="s">
        <v>1502</v>
      </c>
      <c r="C946" t="s">
        <v>130</v>
      </c>
      <c r="D946">
        <v>46</v>
      </c>
      <c r="E946">
        <v>46</v>
      </c>
      <c r="F946">
        <v>0</v>
      </c>
      <c r="G946" t="s">
        <v>14</v>
      </c>
      <c r="H946" t="s">
        <v>58</v>
      </c>
      <c r="I946" t="s">
        <v>88</v>
      </c>
      <c r="J946" t="s">
        <v>20</v>
      </c>
      <c r="K946">
        <v>77292</v>
      </c>
      <c r="L946">
        <v>5</v>
      </c>
      <c r="M946" s="1">
        <v>45465</v>
      </c>
    </row>
    <row r="947" spans="1:13" x14ac:dyDescent="0.35">
      <c r="A947" t="s">
        <v>1503</v>
      </c>
      <c r="B947" t="s">
        <v>1504</v>
      </c>
      <c r="C947" t="s">
        <v>172</v>
      </c>
      <c r="D947">
        <v>29</v>
      </c>
      <c r="E947">
        <v>29</v>
      </c>
      <c r="F947">
        <v>0</v>
      </c>
      <c r="G947" t="s">
        <v>25</v>
      </c>
      <c r="H947" t="s">
        <v>32</v>
      </c>
      <c r="I947" t="s">
        <v>15</v>
      </c>
      <c r="J947" t="s">
        <v>26</v>
      </c>
      <c r="L947">
        <v>4</v>
      </c>
      <c r="M947" s="1">
        <v>45427</v>
      </c>
    </row>
    <row r="948" spans="1:13" x14ac:dyDescent="0.35">
      <c r="A948" t="s">
        <v>1505</v>
      </c>
      <c r="B948" t="s">
        <v>471</v>
      </c>
      <c r="C948" t="s">
        <v>29</v>
      </c>
      <c r="D948">
        <v>46</v>
      </c>
      <c r="E948">
        <v>46</v>
      </c>
      <c r="F948">
        <v>0</v>
      </c>
      <c r="G948" t="s">
        <v>25</v>
      </c>
      <c r="H948" t="s">
        <v>32</v>
      </c>
      <c r="I948" t="s">
        <v>15</v>
      </c>
      <c r="J948" t="s">
        <v>20</v>
      </c>
      <c r="K948">
        <v>65567</v>
      </c>
      <c r="L948">
        <v>1</v>
      </c>
      <c r="M948" s="1">
        <v>45403</v>
      </c>
    </row>
    <row r="949" spans="1:13" x14ac:dyDescent="0.35">
      <c r="A949" t="s">
        <v>1506</v>
      </c>
      <c r="B949" t="s">
        <v>24</v>
      </c>
      <c r="C949" t="s">
        <v>172</v>
      </c>
      <c r="D949">
        <v>18</v>
      </c>
      <c r="E949">
        <v>18</v>
      </c>
      <c r="F949">
        <v>0</v>
      </c>
      <c r="G949" t="s">
        <v>25</v>
      </c>
      <c r="H949" t="s">
        <v>58</v>
      </c>
      <c r="I949" t="s">
        <v>2153</v>
      </c>
      <c r="J949" t="s">
        <v>37</v>
      </c>
      <c r="K949">
        <v>47211</v>
      </c>
      <c r="L949">
        <v>4</v>
      </c>
      <c r="M949" s="1">
        <v>45539</v>
      </c>
    </row>
    <row r="950" spans="1:13" x14ac:dyDescent="0.35">
      <c r="A950" t="s">
        <v>1507</v>
      </c>
      <c r="B950" t="s">
        <v>1508</v>
      </c>
      <c r="C950" t="s">
        <v>172</v>
      </c>
      <c r="D950">
        <v>39</v>
      </c>
      <c r="E950">
        <v>39</v>
      </c>
      <c r="F950">
        <v>0</v>
      </c>
      <c r="G950" t="s">
        <v>14</v>
      </c>
      <c r="H950" t="s">
        <v>58</v>
      </c>
      <c r="I950" t="s">
        <v>88</v>
      </c>
      <c r="J950" t="s">
        <v>40</v>
      </c>
      <c r="L950">
        <v>6</v>
      </c>
      <c r="M950" s="1">
        <v>45420</v>
      </c>
    </row>
    <row r="951" spans="1:13" x14ac:dyDescent="0.35">
      <c r="A951" t="s">
        <v>1509</v>
      </c>
      <c r="B951" t="s">
        <v>1510</v>
      </c>
      <c r="C951" t="s">
        <v>45</v>
      </c>
      <c r="D951">
        <v>27</v>
      </c>
      <c r="E951">
        <v>27</v>
      </c>
      <c r="F951">
        <v>0</v>
      </c>
      <c r="G951" t="s">
        <v>25</v>
      </c>
      <c r="H951" t="s">
        <v>32</v>
      </c>
      <c r="I951" t="s">
        <v>105</v>
      </c>
      <c r="J951" t="s">
        <v>26</v>
      </c>
      <c r="L951">
        <v>9</v>
      </c>
      <c r="M951" s="1">
        <v>45536</v>
      </c>
    </row>
    <row r="952" spans="1:13" x14ac:dyDescent="0.35">
      <c r="A952" t="s">
        <v>1511</v>
      </c>
      <c r="B952" t="s">
        <v>1302</v>
      </c>
      <c r="C952" t="s">
        <v>130</v>
      </c>
      <c r="D952">
        <v>61</v>
      </c>
      <c r="E952">
        <v>61</v>
      </c>
      <c r="F952">
        <v>0</v>
      </c>
      <c r="G952" t="s">
        <v>25</v>
      </c>
      <c r="H952" t="s">
        <v>99</v>
      </c>
      <c r="I952" t="s">
        <v>88</v>
      </c>
      <c r="J952" t="s">
        <v>37</v>
      </c>
      <c r="K952">
        <v>42869</v>
      </c>
      <c r="L952">
        <v>3</v>
      </c>
      <c r="M952" s="1">
        <v>45575</v>
      </c>
    </row>
    <row r="953" spans="1:13" x14ac:dyDescent="0.35">
      <c r="A953" t="s">
        <v>1512</v>
      </c>
      <c r="B953" t="s">
        <v>2183</v>
      </c>
      <c r="C953" t="s">
        <v>130</v>
      </c>
      <c r="D953">
        <v>32</v>
      </c>
      <c r="E953">
        <v>32</v>
      </c>
      <c r="F953">
        <v>0</v>
      </c>
      <c r="G953" t="s">
        <v>25</v>
      </c>
      <c r="H953" t="s">
        <v>99</v>
      </c>
      <c r="I953" t="s">
        <v>2153</v>
      </c>
      <c r="J953" t="s">
        <v>20</v>
      </c>
      <c r="K953">
        <v>44298</v>
      </c>
      <c r="L953">
        <v>3</v>
      </c>
      <c r="M953" s="1">
        <v>45391</v>
      </c>
    </row>
    <row r="954" spans="1:13" x14ac:dyDescent="0.35">
      <c r="A954" t="s">
        <v>1513</v>
      </c>
      <c r="B954" t="s">
        <v>618</v>
      </c>
      <c r="C954" t="s">
        <v>130</v>
      </c>
      <c r="D954">
        <v>33</v>
      </c>
      <c r="E954">
        <v>33</v>
      </c>
      <c r="F954">
        <v>0</v>
      </c>
      <c r="G954" t="s">
        <v>25</v>
      </c>
      <c r="H954" t="s">
        <v>99</v>
      </c>
      <c r="I954" t="s">
        <v>15</v>
      </c>
      <c r="J954" t="s">
        <v>37</v>
      </c>
      <c r="K954">
        <v>30000</v>
      </c>
      <c r="L954">
        <v>3</v>
      </c>
      <c r="M954" s="1">
        <v>45474</v>
      </c>
    </row>
    <row r="955" spans="1:13" x14ac:dyDescent="0.35">
      <c r="A955" t="s">
        <v>1514</v>
      </c>
      <c r="B955" t="s">
        <v>166</v>
      </c>
      <c r="C955" t="s">
        <v>119</v>
      </c>
      <c r="D955">
        <v>16</v>
      </c>
      <c r="E955">
        <v>16</v>
      </c>
      <c r="F955">
        <v>0</v>
      </c>
      <c r="G955" t="s">
        <v>25</v>
      </c>
      <c r="H955" t="s">
        <v>32</v>
      </c>
      <c r="I955" t="s">
        <v>15</v>
      </c>
      <c r="J955" t="s">
        <v>20</v>
      </c>
      <c r="K955">
        <v>79818</v>
      </c>
      <c r="L955">
        <v>5</v>
      </c>
      <c r="M955" s="1">
        <v>45322</v>
      </c>
    </row>
    <row r="956" spans="1:13" x14ac:dyDescent="0.35">
      <c r="A956" t="s">
        <v>2184</v>
      </c>
      <c r="B956" t="s">
        <v>1515</v>
      </c>
      <c r="C956" t="s">
        <v>13</v>
      </c>
      <c r="D956">
        <v>40</v>
      </c>
      <c r="E956">
        <v>40</v>
      </c>
      <c r="F956">
        <v>0</v>
      </c>
      <c r="G956" t="s">
        <v>25</v>
      </c>
      <c r="H956" t="s">
        <v>32</v>
      </c>
      <c r="I956" t="s">
        <v>15</v>
      </c>
      <c r="J956" t="s">
        <v>16</v>
      </c>
      <c r="L956">
        <v>4</v>
      </c>
      <c r="M956" s="1">
        <v>45528</v>
      </c>
    </row>
    <row r="957" spans="1:13" x14ac:dyDescent="0.35">
      <c r="A957" t="s">
        <v>1516</v>
      </c>
      <c r="B957" t="s">
        <v>418</v>
      </c>
      <c r="C957" t="s">
        <v>130</v>
      </c>
      <c r="D957">
        <v>35</v>
      </c>
      <c r="E957">
        <v>35</v>
      </c>
      <c r="F957">
        <v>0</v>
      </c>
      <c r="G957" t="s">
        <v>14</v>
      </c>
      <c r="H957" t="s">
        <v>32</v>
      </c>
      <c r="I957" t="s">
        <v>105</v>
      </c>
      <c r="J957" t="s">
        <v>37</v>
      </c>
      <c r="K957">
        <v>40970</v>
      </c>
      <c r="L957">
        <v>8</v>
      </c>
      <c r="M957" s="1">
        <v>45452</v>
      </c>
    </row>
    <row r="958" spans="1:13" x14ac:dyDescent="0.35">
      <c r="A958" t="s">
        <v>1517</v>
      </c>
      <c r="B958" t="s">
        <v>729</v>
      </c>
      <c r="C958" t="s">
        <v>13</v>
      </c>
      <c r="D958">
        <v>51</v>
      </c>
      <c r="E958">
        <v>51</v>
      </c>
      <c r="F958">
        <v>0</v>
      </c>
      <c r="G958" t="s">
        <v>14</v>
      </c>
      <c r="H958" t="s">
        <v>19</v>
      </c>
      <c r="I958" t="s">
        <v>15</v>
      </c>
      <c r="J958" t="s">
        <v>37</v>
      </c>
      <c r="K958">
        <v>37094</v>
      </c>
      <c r="L958">
        <v>8</v>
      </c>
      <c r="M958" s="1">
        <v>45455</v>
      </c>
    </row>
    <row r="959" spans="1:13" x14ac:dyDescent="0.35">
      <c r="A959" t="s">
        <v>1518</v>
      </c>
      <c r="B959" t="s">
        <v>857</v>
      </c>
      <c r="C959" t="s">
        <v>45</v>
      </c>
      <c r="D959">
        <v>37</v>
      </c>
      <c r="E959">
        <v>37</v>
      </c>
      <c r="F959">
        <v>0</v>
      </c>
      <c r="G959" t="s">
        <v>25</v>
      </c>
      <c r="H959" t="s">
        <v>58</v>
      </c>
      <c r="I959" t="s">
        <v>15</v>
      </c>
      <c r="J959" t="s">
        <v>26</v>
      </c>
      <c r="L959">
        <v>5</v>
      </c>
      <c r="M959" s="1">
        <v>45461</v>
      </c>
    </row>
    <row r="960" spans="1:13" x14ac:dyDescent="0.35">
      <c r="A960" t="s">
        <v>1519</v>
      </c>
      <c r="B960" t="s">
        <v>1307</v>
      </c>
      <c r="C960" t="s">
        <v>13</v>
      </c>
      <c r="D960">
        <v>30</v>
      </c>
      <c r="E960">
        <v>30</v>
      </c>
      <c r="F960">
        <v>0</v>
      </c>
      <c r="G960" t="s">
        <v>25</v>
      </c>
      <c r="H960" t="s">
        <v>19</v>
      </c>
      <c r="I960" t="s">
        <v>105</v>
      </c>
      <c r="J960" t="s">
        <v>26</v>
      </c>
      <c r="L960">
        <v>4</v>
      </c>
      <c r="M960" s="1">
        <v>45422</v>
      </c>
    </row>
    <row r="961" spans="1:13" x14ac:dyDescent="0.35">
      <c r="A961" t="s">
        <v>1520</v>
      </c>
      <c r="B961" t="s">
        <v>1168</v>
      </c>
      <c r="C961" t="s">
        <v>130</v>
      </c>
      <c r="D961">
        <v>36</v>
      </c>
      <c r="E961">
        <v>36</v>
      </c>
      <c r="F961">
        <v>0</v>
      </c>
      <c r="G961" t="s">
        <v>25</v>
      </c>
      <c r="H961" t="s">
        <v>32</v>
      </c>
      <c r="I961" t="s">
        <v>88</v>
      </c>
      <c r="J961" t="s">
        <v>16</v>
      </c>
      <c r="L961">
        <v>7</v>
      </c>
      <c r="M961" s="1">
        <v>45544</v>
      </c>
    </row>
    <row r="962" spans="1:13" x14ac:dyDescent="0.35">
      <c r="A962" t="s">
        <v>1521</v>
      </c>
      <c r="B962" t="s">
        <v>1522</v>
      </c>
      <c r="C962" t="s">
        <v>29</v>
      </c>
      <c r="D962">
        <v>60</v>
      </c>
      <c r="E962">
        <v>60</v>
      </c>
      <c r="F962">
        <v>0</v>
      </c>
      <c r="G962" t="s">
        <v>14</v>
      </c>
      <c r="H962" t="s">
        <v>32</v>
      </c>
      <c r="I962" t="s">
        <v>15</v>
      </c>
      <c r="J962" t="s">
        <v>20</v>
      </c>
      <c r="K962">
        <v>35933</v>
      </c>
      <c r="L962">
        <v>7</v>
      </c>
      <c r="M962" s="1">
        <v>45503</v>
      </c>
    </row>
    <row r="963" spans="1:13" x14ac:dyDescent="0.35">
      <c r="A963" t="s">
        <v>1523</v>
      </c>
      <c r="B963" t="s">
        <v>2077</v>
      </c>
      <c r="C963" t="s">
        <v>45</v>
      </c>
      <c r="D963">
        <v>44</v>
      </c>
      <c r="E963">
        <v>44</v>
      </c>
      <c r="F963">
        <v>0</v>
      </c>
      <c r="G963" t="s">
        <v>14</v>
      </c>
      <c r="H963" t="s">
        <v>99</v>
      </c>
      <c r="I963" t="s">
        <v>15</v>
      </c>
      <c r="J963" t="s">
        <v>20</v>
      </c>
      <c r="K963">
        <v>87031</v>
      </c>
      <c r="L963">
        <v>7</v>
      </c>
      <c r="M963" s="1">
        <v>45426</v>
      </c>
    </row>
    <row r="964" spans="1:13" x14ac:dyDescent="0.35">
      <c r="A964" t="s">
        <v>1524</v>
      </c>
      <c r="B964" t="s">
        <v>1504</v>
      </c>
      <c r="C964" t="s">
        <v>154</v>
      </c>
      <c r="D964">
        <v>59</v>
      </c>
      <c r="E964">
        <v>59</v>
      </c>
      <c r="F964">
        <v>0</v>
      </c>
      <c r="G964" t="s">
        <v>25</v>
      </c>
      <c r="H964" t="s">
        <v>19</v>
      </c>
      <c r="I964" t="s">
        <v>15</v>
      </c>
      <c r="J964" t="s">
        <v>26</v>
      </c>
      <c r="L964">
        <v>1</v>
      </c>
      <c r="M964" s="1">
        <v>45417</v>
      </c>
    </row>
    <row r="965" spans="1:13" x14ac:dyDescent="0.35">
      <c r="A965" t="s">
        <v>1525</v>
      </c>
      <c r="B965" t="s">
        <v>694</v>
      </c>
      <c r="C965" t="s">
        <v>119</v>
      </c>
      <c r="D965">
        <v>46</v>
      </c>
      <c r="E965">
        <v>46</v>
      </c>
      <c r="F965">
        <v>0</v>
      </c>
      <c r="G965" t="s">
        <v>25</v>
      </c>
      <c r="H965" t="s">
        <v>58</v>
      </c>
      <c r="I965" t="s">
        <v>15</v>
      </c>
      <c r="J965" t="s">
        <v>37</v>
      </c>
      <c r="K965">
        <v>112884</v>
      </c>
      <c r="L965">
        <v>5</v>
      </c>
      <c r="M965" s="1">
        <v>45387</v>
      </c>
    </row>
    <row r="966" spans="1:13" x14ac:dyDescent="0.35">
      <c r="A966" t="s">
        <v>1526</v>
      </c>
      <c r="B966" t="s">
        <v>174</v>
      </c>
      <c r="C966" t="s">
        <v>172</v>
      </c>
      <c r="D966">
        <v>49</v>
      </c>
      <c r="E966">
        <v>49</v>
      </c>
      <c r="F966">
        <v>0</v>
      </c>
      <c r="G966" t="s">
        <v>14</v>
      </c>
      <c r="H966" t="s">
        <v>19</v>
      </c>
      <c r="I966" t="s">
        <v>88</v>
      </c>
      <c r="J966" t="s">
        <v>40</v>
      </c>
      <c r="L966">
        <v>3</v>
      </c>
      <c r="M966" s="1">
        <v>45298</v>
      </c>
    </row>
    <row r="967" spans="1:13" x14ac:dyDescent="0.35">
      <c r="A967" t="s">
        <v>1527</v>
      </c>
      <c r="B967" t="s">
        <v>1528</v>
      </c>
      <c r="C967" t="s">
        <v>172</v>
      </c>
      <c r="D967">
        <v>16</v>
      </c>
      <c r="E967">
        <v>16</v>
      </c>
      <c r="F967">
        <v>0</v>
      </c>
      <c r="G967" t="s">
        <v>25</v>
      </c>
      <c r="H967" t="s">
        <v>32</v>
      </c>
      <c r="I967" t="s">
        <v>2154</v>
      </c>
      <c r="J967" t="s">
        <v>26</v>
      </c>
      <c r="L967">
        <v>9</v>
      </c>
      <c r="M967" s="1">
        <v>45310</v>
      </c>
    </row>
    <row r="968" spans="1:13" x14ac:dyDescent="0.35">
      <c r="A968" t="s">
        <v>1529</v>
      </c>
      <c r="B968" t="s">
        <v>134</v>
      </c>
      <c r="C968" t="s">
        <v>184</v>
      </c>
      <c r="D968">
        <v>27</v>
      </c>
      <c r="E968">
        <v>27</v>
      </c>
      <c r="F968">
        <v>0</v>
      </c>
      <c r="G968" t="s">
        <v>14</v>
      </c>
      <c r="H968" t="s">
        <v>19</v>
      </c>
      <c r="I968" t="s">
        <v>15</v>
      </c>
      <c r="J968" t="s">
        <v>26</v>
      </c>
      <c r="L968">
        <v>6</v>
      </c>
      <c r="M968" s="1">
        <v>45480</v>
      </c>
    </row>
    <row r="969" spans="1:13" x14ac:dyDescent="0.35">
      <c r="A969" t="s">
        <v>1530</v>
      </c>
      <c r="B969" t="s">
        <v>125</v>
      </c>
      <c r="C969" t="s">
        <v>119</v>
      </c>
      <c r="D969">
        <v>19</v>
      </c>
      <c r="E969">
        <v>19</v>
      </c>
      <c r="F969">
        <v>0</v>
      </c>
      <c r="G969" t="s">
        <v>25</v>
      </c>
      <c r="H969" t="s">
        <v>58</v>
      </c>
      <c r="I969" t="s">
        <v>88</v>
      </c>
      <c r="J969" t="s">
        <v>20</v>
      </c>
      <c r="K969">
        <v>100734</v>
      </c>
      <c r="L969">
        <v>7</v>
      </c>
      <c r="M969" s="1">
        <v>45552</v>
      </c>
    </row>
    <row r="970" spans="1:13" x14ac:dyDescent="0.35">
      <c r="A970" t="s">
        <v>1531</v>
      </c>
      <c r="B970" t="s">
        <v>594</v>
      </c>
      <c r="C970" t="s">
        <v>130</v>
      </c>
      <c r="D970">
        <v>35</v>
      </c>
      <c r="E970">
        <v>35</v>
      </c>
      <c r="F970">
        <v>0</v>
      </c>
      <c r="G970" t="s">
        <v>14</v>
      </c>
      <c r="H970" t="s">
        <v>19</v>
      </c>
      <c r="I970" t="s">
        <v>105</v>
      </c>
      <c r="J970" t="s">
        <v>40</v>
      </c>
      <c r="L970">
        <v>8</v>
      </c>
      <c r="M970" s="1">
        <v>45308</v>
      </c>
    </row>
    <row r="971" spans="1:13" x14ac:dyDescent="0.35">
      <c r="A971" t="s">
        <v>1532</v>
      </c>
      <c r="B971" t="s">
        <v>421</v>
      </c>
      <c r="C971" t="s">
        <v>172</v>
      </c>
      <c r="D971">
        <v>26</v>
      </c>
      <c r="E971">
        <v>26</v>
      </c>
      <c r="F971">
        <v>0</v>
      </c>
      <c r="G971" t="s">
        <v>25</v>
      </c>
      <c r="H971" t="s">
        <v>32</v>
      </c>
      <c r="I971" t="s">
        <v>105</v>
      </c>
      <c r="J971" t="s">
        <v>20</v>
      </c>
      <c r="K971">
        <v>37815</v>
      </c>
      <c r="L971">
        <v>5</v>
      </c>
      <c r="M971" s="1">
        <v>45488</v>
      </c>
    </row>
    <row r="972" spans="1:13" x14ac:dyDescent="0.35">
      <c r="A972" t="s">
        <v>2185</v>
      </c>
      <c r="B972" t="s">
        <v>1207</v>
      </c>
      <c r="C972" t="s">
        <v>184</v>
      </c>
      <c r="D972">
        <v>26</v>
      </c>
      <c r="E972">
        <v>26</v>
      </c>
      <c r="F972">
        <v>0</v>
      </c>
      <c r="G972" t="s">
        <v>25</v>
      </c>
      <c r="H972" t="s">
        <v>19</v>
      </c>
      <c r="I972" t="s">
        <v>105</v>
      </c>
      <c r="J972" t="s">
        <v>26</v>
      </c>
      <c r="L972">
        <v>7</v>
      </c>
      <c r="M972" s="1">
        <v>45421</v>
      </c>
    </row>
    <row r="973" spans="1:13" x14ac:dyDescent="0.35">
      <c r="A973" t="s">
        <v>1533</v>
      </c>
      <c r="B973" t="s">
        <v>1534</v>
      </c>
      <c r="C973" t="s">
        <v>29</v>
      </c>
      <c r="D973">
        <v>24</v>
      </c>
      <c r="E973">
        <v>24</v>
      </c>
      <c r="F973">
        <v>0</v>
      </c>
      <c r="G973" t="s">
        <v>25</v>
      </c>
      <c r="H973" t="s">
        <v>32</v>
      </c>
      <c r="I973" t="s">
        <v>105</v>
      </c>
      <c r="J973" t="s">
        <v>37</v>
      </c>
      <c r="K973">
        <v>85536</v>
      </c>
      <c r="L973">
        <v>5</v>
      </c>
      <c r="M973" s="1">
        <v>45508</v>
      </c>
    </row>
    <row r="974" spans="1:13" x14ac:dyDescent="0.35">
      <c r="A974" t="s">
        <v>1535</v>
      </c>
      <c r="B974" t="s">
        <v>684</v>
      </c>
      <c r="C974" t="s">
        <v>117</v>
      </c>
      <c r="D974">
        <v>40</v>
      </c>
      <c r="E974">
        <v>40</v>
      </c>
      <c r="F974">
        <v>0</v>
      </c>
      <c r="G974" t="s">
        <v>25</v>
      </c>
      <c r="H974" t="s">
        <v>32</v>
      </c>
      <c r="I974" t="s">
        <v>2153</v>
      </c>
      <c r="J974" t="s">
        <v>16</v>
      </c>
      <c r="L974">
        <v>3</v>
      </c>
      <c r="M974" s="1">
        <v>45469</v>
      </c>
    </row>
    <row r="975" spans="1:13" x14ac:dyDescent="0.35">
      <c r="A975" t="s">
        <v>1536</v>
      </c>
      <c r="B975" t="s">
        <v>1382</v>
      </c>
      <c r="C975" t="s">
        <v>184</v>
      </c>
      <c r="D975">
        <v>39</v>
      </c>
      <c r="E975">
        <v>39</v>
      </c>
      <c r="F975">
        <v>0</v>
      </c>
      <c r="G975" t="s">
        <v>25</v>
      </c>
      <c r="H975" t="s">
        <v>19</v>
      </c>
      <c r="I975" t="s">
        <v>88</v>
      </c>
      <c r="J975" t="s">
        <v>40</v>
      </c>
      <c r="L975">
        <v>4</v>
      </c>
      <c r="M975" s="1">
        <v>45403</v>
      </c>
    </row>
    <row r="976" spans="1:13" x14ac:dyDescent="0.35">
      <c r="A976" t="s">
        <v>1537</v>
      </c>
      <c r="B976" t="s">
        <v>547</v>
      </c>
      <c r="C976" t="s">
        <v>45</v>
      </c>
      <c r="D976">
        <v>28</v>
      </c>
      <c r="E976">
        <v>28</v>
      </c>
      <c r="F976">
        <v>0</v>
      </c>
      <c r="G976" t="s">
        <v>25</v>
      </c>
      <c r="H976" t="s">
        <v>58</v>
      </c>
      <c r="I976" t="s">
        <v>88</v>
      </c>
      <c r="J976" t="s">
        <v>26</v>
      </c>
      <c r="L976">
        <v>7</v>
      </c>
      <c r="M976" s="1">
        <v>45483</v>
      </c>
    </row>
    <row r="977" spans="1:13" x14ac:dyDescent="0.35">
      <c r="A977" t="s">
        <v>1538</v>
      </c>
      <c r="B977" t="s">
        <v>1539</v>
      </c>
      <c r="C977" t="s">
        <v>45</v>
      </c>
      <c r="D977">
        <v>37</v>
      </c>
      <c r="E977">
        <v>37</v>
      </c>
      <c r="F977">
        <v>0</v>
      </c>
      <c r="G977" t="s">
        <v>25</v>
      </c>
      <c r="H977" t="s">
        <v>19</v>
      </c>
      <c r="I977" t="s">
        <v>105</v>
      </c>
      <c r="J977" t="s">
        <v>37</v>
      </c>
      <c r="K977">
        <v>34945</v>
      </c>
      <c r="L977">
        <v>9</v>
      </c>
      <c r="M977" s="1">
        <v>45477</v>
      </c>
    </row>
    <row r="978" spans="1:13" x14ac:dyDescent="0.35">
      <c r="A978" t="s">
        <v>1540</v>
      </c>
      <c r="B978" t="s">
        <v>535</v>
      </c>
      <c r="C978" t="s">
        <v>13</v>
      </c>
      <c r="D978">
        <v>35</v>
      </c>
      <c r="E978">
        <v>35</v>
      </c>
      <c r="F978">
        <v>0</v>
      </c>
      <c r="G978" t="s">
        <v>25</v>
      </c>
      <c r="H978" t="s">
        <v>58</v>
      </c>
      <c r="I978" t="s">
        <v>2153</v>
      </c>
      <c r="J978" t="s">
        <v>16</v>
      </c>
      <c r="L978">
        <v>2</v>
      </c>
      <c r="M978" s="1">
        <v>45372</v>
      </c>
    </row>
    <row r="979" spans="1:13" x14ac:dyDescent="0.35">
      <c r="A979" t="s">
        <v>1541</v>
      </c>
      <c r="B979" t="s">
        <v>627</v>
      </c>
      <c r="C979" t="s">
        <v>69</v>
      </c>
      <c r="D979">
        <v>14</v>
      </c>
      <c r="E979">
        <v>14</v>
      </c>
      <c r="F979">
        <v>0</v>
      </c>
      <c r="G979" t="s">
        <v>25</v>
      </c>
      <c r="H979" t="s">
        <v>99</v>
      </c>
      <c r="I979" t="s">
        <v>88</v>
      </c>
      <c r="J979" t="s">
        <v>26</v>
      </c>
      <c r="L979">
        <v>2</v>
      </c>
      <c r="M979" s="1">
        <v>45455</v>
      </c>
    </row>
    <row r="980" spans="1:13" x14ac:dyDescent="0.35">
      <c r="A980" t="s">
        <v>1542</v>
      </c>
      <c r="B980" t="s">
        <v>151</v>
      </c>
      <c r="C980" t="s">
        <v>154</v>
      </c>
      <c r="D980">
        <v>26</v>
      </c>
      <c r="E980">
        <v>26</v>
      </c>
      <c r="F980">
        <v>0</v>
      </c>
      <c r="G980" t="s">
        <v>25</v>
      </c>
      <c r="H980" t="s">
        <v>99</v>
      </c>
      <c r="I980" t="s">
        <v>2153</v>
      </c>
      <c r="J980" t="s">
        <v>37</v>
      </c>
      <c r="K980">
        <v>30463</v>
      </c>
      <c r="L980">
        <v>7</v>
      </c>
      <c r="M980" s="1">
        <v>45335</v>
      </c>
    </row>
    <row r="981" spans="1:13" x14ac:dyDescent="0.35">
      <c r="A981" t="s">
        <v>1543</v>
      </c>
      <c r="B981" t="s">
        <v>479</v>
      </c>
      <c r="C981" t="s">
        <v>154</v>
      </c>
      <c r="D981">
        <v>35</v>
      </c>
      <c r="E981">
        <v>35</v>
      </c>
      <c r="F981">
        <v>0</v>
      </c>
      <c r="G981" t="s">
        <v>25</v>
      </c>
      <c r="H981" t="s">
        <v>58</v>
      </c>
      <c r="I981" t="s">
        <v>105</v>
      </c>
      <c r="J981" t="s">
        <v>16</v>
      </c>
      <c r="L981">
        <v>8</v>
      </c>
      <c r="M981" s="1">
        <v>45349</v>
      </c>
    </row>
    <row r="982" spans="1:13" x14ac:dyDescent="0.35">
      <c r="A982" t="s">
        <v>1544</v>
      </c>
      <c r="B982" t="s">
        <v>1291</v>
      </c>
      <c r="C982" t="s">
        <v>184</v>
      </c>
      <c r="D982">
        <v>13</v>
      </c>
      <c r="E982">
        <v>13</v>
      </c>
      <c r="F982">
        <v>0</v>
      </c>
      <c r="G982" t="s">
        <v>25</v>
      </c>
      <c r="H982" t="s">
        <v>99</v>
      </c>
      <c r="I982" t="s">
        <v>15</v>
      </c>
      <c r="J982" t="s">
        <v>26</v>
      </c>
      <c r="L982">
        <v>7</v>
      </c>
      <c r="M982" s="1">
        <v>45474</v>
      </c>
    </row>
    <row r="983" spans="1:13" x14ac:dyDescent="0.35">
      <c r="A983" t="s">
        <v>1545</v>
      </c>
      <c r="B983" t="s">
        <v>738</v>
      </c>
      <c r="C983" t="s">
        <v>69</v>
      </c>
      <c r="D983">
        <v>19</v>
      </c>
      <c r="E983">
        <v>19</v>
      </c>
      <c r="F983">
        <v>0</v>
      </c>
      <c r="G983" t="s">
        <v>14</v>
      </c>
      <c r="H983" t="s">
        <v>99</v>
      </c>
      <c r="I983" t="s">
        <v>88</v>
      </c>
      <c r="J983" t="s">
        <v>16</v>
      </c>
      <c r="L983">
        <v>7</v>
      </c>
      <c r="M983" s="1">
        <v>45476</v>
      </c>
    </row>
    <row r="984" spans="1:13" x14ac:dyDescent="0.35">
      <c r="A984" t="s">
        <v>1546</v>
      </c>
      <c r="B984" t="s">
        <v>1547</v>
      </c>
      <c r="C984" t="s">
        <v>117</v>
      </c>
      <c r="D984">
        <v>30</v>
      </c>
      <c r="E984">
        <v>30</v>
      </c>
      <c r="F984">
        <v>0</v>
      </c>
      <c r="G984" t="s">
        <v>14</v>
      </c>
      <c r="H984" t="s">
        <v>58</v>
      </c>
      <c r="I984" t="s">
        <v>15</v>
      </c>
      <c r="J984" t="s">
        <v>26</v>
      </c>
      <c r="L984">
        <v>4</v>
      </c>
      <c r="M984" s="1">
        <v>45389</v>
      </c>
    </row>
    <row r="985" spans="1:13" x14ac:dyDescent="0.35">
      <c r="A985" t="s">
        <v>1548</v>
      </c>
      <c r="B985" t="s">
        <v>957</v>
      </c>
      <c r="C985" t="s">
        <v>172</v>
      </c>
      <c r="D985">
        <v>23</v>
      </c>
      <c r="E985">
        <v>23</v>
      </c>
      <c r="F985">
        <v>0</v>
      </c>
      <c r="G985" t="s">
        <v>14</v>
      </c>
      <c r="H985" t="s">
        <v>99</v>
      </c>
      <c r="I985" t="s">
        <v>2153</v>
      </c>
      <c r="J985" t="s">
        <v>40</v>
      </c>
      <c r="L985">
        <v>1</v>
      </c>
      <c r="M985" s="1">
        <v>45491</v>
      </c>
    </row>
    <row r="986" spans="1:13" x14ac:dyDescent="0.35">
      <c r="A986" t="s">
        <v>1549</v>
      </c>
      <c r="B986" t="s">
        <v>1550</v>
      </c>
      <c r="C986" t="s">
        <v>154</v>
      </c>
      <c r="D986">
        <v>48</v>
      </c>
      <c r="E986">
        <v>48</v>
      </c>
      <c r="F986">
        <v>0</v>
      </c>
      <c r="G986" t="s">
        <v>25</v>
      </c>
      <c r="H986" t="s">
        <v>58</v>
      </c>
      <c r="I986" t="s">
        <v>15</v>
      </c>
      <c r="J986" t="s">
        <v>26</v>
      </c>
      <c r="L986">
        <v>7</v>
      </c>
      <c r="M986" s="1">
        <v>45527</v>
      </c>
    </row>
    <row r="987" spans="1:13" x14ac:dyDescent="0.35">
      <c r="A987" t="s">
        <v>1551</v>
      </c>
      <c r="B987" t="s">
        <v>592</v>
      </c>
      <c r="C987" t="s">
        <v>184</v>
      </c>
      <c r="D987">
        <v>32</v>
      </c>
      <c r="E987">
        <v>32</v>
      </c>
      <c r="F987">
        <v>0</v>
      </c>
      <c r="G987" t="s">
        <v>14</v>
      </c>
      <c r="H987" t="s">
        <v>99</v>
      </c>
      <c r="I987" t="s">
        <v>2153</v>
      </c>
      <c r="J987" t="s">
        <v>40</v>
      </c>
      <c r="L987">
        <v>9</v>
      </c>
      <c r="M987" s="1">
        <v>45463</v>
      </c>
    </row>
    <row r="988" spans="1:13" x14ac:dyDescent="0.35">
      <c r="A988" t="s">
        <v>1552</v>
      </c>
      <c r="B988" t="s">
        <v>62</v>
      </c>
      <c r="C988" t="s">
        <v>130</v>
      </c>
      <c r="D988">
        <v>54</v>
      </c>
      <c r="E988">
        <v>54</v>
      </c>
      <c r="F988">
        <v>0</v>
      </c>
      <c r="G988" t="s">
        <v>14</v>
      </c>
      <c r="H988" t="s">
        <v>32</v>
      </c>
      <c r="I988" t="s">
        <v>105</v>
      </c>
      <c r="J988" t="s">
        <v>40</v>
      </c>
      <c r="L988">
        <v>4</v>
      </c>
      <c r="M988" s="1">
        <v>45552</v>
      </c>
    </row>
    <row r="989" spans="1:13" x14ac:dyDescent="0.35">
      <c r="A989" t="s">
        <v>1553</v>
      </c>
      <c r="B989" t="s">
        <v>275</v>
      </c>
      <c r="C989" t="s">
        <v>119</v>
      </c>
      <c r="D989">
        <v>1</v>
      </c>
      <c r="E989">
        <v>1</v>
      </c>
      <c r="F989">
        <v>0</v>
      </c>
      <c r="G989" t="s">
        <v>25</v>
      </c>
      <c r="H989" t="s">
        <v>99</v>
      </c>
      <c r="I989" t="s">
        <v>88</v>
      </c>
      <c r="J989" t="s">
        <v>26</v>
      </c>
      <c r="L989">
        <v>9</v>
      </c>
      <c r="M989" s="1">
        <v>45368</v>
      </c>
    </row>
    <row r="990" spans="1:13" x14ac:dyDescent="0.35">
      <c r="A990" t="s">
        <v>1554</v>
      </c>
      <c r="B990" t="s">
        <v>829</v>
      </c>
      <c r="C990" t="s">
        <v>117</v>
      </c>
      <c r="D990">
        <v>35</v>
      </c>
      <c r="E990">
        <v>35</v>
      </c>
      <c r="F990">
        <v>0</v>
      </c>
      <c r="G990" t="s">
        <v>14</v>
      </c>
      <c r="H990" t="s">
        <v>32</v>
      </c>
      <c r="I990" t="s">
        <v>2153</v>
      </c>
      <c r="J990" t="s">
        <v>37</v>
      </c>
      <c r="K990">
        <v>52346</v>
      </c>
      <c r="L990">
        <v>8</v>
      </c>
      <c r="M990" s="1">
        <v>45571</v>
      </c>
    </row>
    <row r="991" spans="1:13" x14ac:dyDescent="0.35">
      <c r="A991" t="s">
        <v>1555</v>
      </c>
      <c r="B991" t="s">
        <v>60</v>
      </c>
      <c r="C991" t="s">
        <v>13</v>
      </c>
      <c r="D991">
        <v>14</v>
      </c>
      <c r="E991">
        <v>14</v>
      </c>
      <c r="F991">
        <v>0</v>
      </c>
      <c r="G991" t="s">
        <v>14</v>
      </c>
      <c r="H991" t="s">
        <v>99</v>
      </c>
      <c r="I991" t="s">
        <v>2153</v>
      </c>
      <c r="J991" t="s">
        <v>26</v>
      </c>
      <c r="L991">
        <v>4</v>
      </c>
      <c r="M991" s="1">
        <v>45399</v>
      </c>
    </row>
    <row r="992" spans="1:13" x14ac:dyDescent="0.35">
      <c r="A992" t="s">
        <v>1556</v>
      </c>
      <c r="B992" t="s">
        <v>1310</v>
      </c>
      <c r="C992" t="s">
        <v>154</v>
      </c>
      <c r="D992">
        <v>23</v>
      </c>
      <c r="E992">
        <v>23</v>
      </c>
      <c r="F992">
        <v>0</v>
      </c>
      <c r="G992" t="s">
        <v>25</v>
      </c>
      <c r="H992" t="s">
        <v>99</v>
      </c>
      <c r="I992" t="s">
        <v>88</v>
      </c>
      <c r="J992" t="s">
        <v>40</v>
      </c>
      <c r="L992">
        <v>7</v>
      </c>
      <c r="M992" s="1">
        <v>45495</v>
      </c>
    </row>
    <row r="993" spans="1:13" x14ac:dyDescent="0.35">
      <c r="A993" t="s">
        <v>2186</v>
      </c>
      <c r="B993" t="s">
        <v>894</v>
      </c>
      <c r="C993" t="s">
        <v>130</v>
      </c>
      <c r="D993">
        <v>42</v>
      </c>
      <c r="E993">
        <v>42</v>
      </c>
      <c r="F993">
        <v>0</v>
      </c>
      <c r="G993" t="s">
        <v>25</v>
      </c>
      <c r="H993" t="s">
        <v>58</v>
      </c>
      <c r="I993" t="s">
        <v>88</v>
      </c>
      <c r="J993" t="s">
        <v>26</v>
      </c>
      <c r="L993">
        <v>8</v>
      </c>
      <c r="M993" s="1">
        <v>45457</v>
      </c>
    </row>
    <row r="994" spans="1:13" x14ac:dyDescent="0.35">
      <c r="A994" t="s">
        <v>1557</v>
      </c>
      <c r="B994" t="s">
        <v>1558</v>
      </c>
      <c r="C994" t="s">
        <v>117</v>
      </c>
      <c r="D994">
        <v>35</v>
      </c>
      <c r="E994">
        <v>35</v>
      </c>
      <c r="F994">
        <v>0</v>
      </c>
      <c r="G994" t="s">
        <v>25</v>
      </c>
      <c r="H994" t="s">
        <v>58</v>
      </c>
      <c r="I994" t="s">
        <v>105</v>
      </c>
      <c r="J994" t="s">
        <v>40</v>
      </c>
      <c r="L994">
        <v>5</v>
      </c>
      <c r="M994" s="1">
        <v>45428</v>
      </c>
    </row>
    <row r="995" spans="1:13" x14ac:dyDescent="0.35">
      <c r="A995" t="s">
        <v>1559</v>
      </c>
      <c r="B995" t="s">
        <v>822</v>
      </c>
      <c r="C995" t="s">
        <v>69</v>
      </c>
      <c r="D995">
        <v>24</v>
      </c>
      <c r="E995">
        <v>24</v>
      </c>
      <c r="F995">
        <v>0</v>
      </c>
      <c r="G995" t="s">
        <v>14</v>
      </c>
      <c r="H995" t="s">
        <v>58</v>
      </c>
      <c r="I995" t="s">
        <v>105</v>
      </c>
      <c r="J995" t="s">
        <v>20</v>
      </c>
      <c r="K995">
        <v>40854</v>
      </c>
      <c r="L995">
        <v>2</v>
      </c>
      <c r="M995" s="1">
        <v>45476</v>
      </c>
    </row>
    <row r="996" spans="1:13" x14ac:dyDescent="0.35">
      <c r="A996" t="s">
        <v>1560</v>
      </c>
      <c r="B996" t="s">
        <v>927</v>
      </c>
      <c r="C996" t="s">
        <v>154</v>
      </c>
      <c r="D996">
        <v>15</v>
      </c>
      <c r="E996">
        <v>15</v>
      </c>
      <c r="F996">
        <v>0</v>
      </c>
      <c r="G996" t="s">
        <v>14</v>
      </c>
      <c r="H996" t="s">
        <v>19</v>
      </c>
      <c r="I996" t="s">
        <v>105</v>
      </c>
      <c r="J996" t="s">
        <v>16</v>
      </c>
      <c r="L996">
        <v>6</v>
      </c>
      <c r="M996" s="1">
        <v>45537</v>
      </c>
    </row>
    <row r="997" spans="1:13" x14ac:dyDescent="0.35">
      <c r="A997" t="s">
        <v>1561</v>
      </c>
      <c r="B997" t="s">
        <v>174</v>
      </c>
      <c r="C997" t="s">
        <v>154</v>
      </c>
      <c r="D997">
        <v>57</v>
      </c>
      <c r="E997">
        <v>57</v>
      </c>
      <c r="F997">
        <v>0</v>
      </c>
      <c r="G997" t="s">
        <v>14</v>
      </c>
      <c r="H997" t="s">
        <v>19</v>
      </c>
      <c r="I997" t="s">
        <v>105</v>
      </c>
      <c r="J997" t="s">
        <v>26</v>
      </c>
      <c r="L997">
        <v>9</v>
      </c>
      <c r="M997" s="1">
        <v>45567</v>
      </c>
    </row>
    <row r="998" spans="1:13" x14ac:dyDescent="0.35">
      <c r="A998" t="s">
        <v>1562</v>
      </c>
      <c r="B998" t="s">
        <v>335</v>
      </c>
      <c r="C998" t="s">
        <v>119</v>
      </c>
      <c r="D998">
        <v>25</v>
      </c>
      <c r="E998">
        <v>25</v>
      </c>
      <c r="F998">
        <v>0</v>
      </c>
      <c r="G998" t="s">
        <v>14</v>
      </c>
      <c r="H998" t="s">
        <v>19</v>
      </c>
      <c r="I998" t="s">
        <v>2154</v>
      </c>
      <c r="J998" t="s">
        <v>20</v>
      </c>
      <c r="K998">
        <v>151553</v>
      </c>
      <c r="L998">
        <v>3</v>
      </c>
      <c r="M998" s="1">
        <v>45382</v>
      </c>
    </row>
    <row r="999" spans="1:13" x14ac:dyDescent="0.35">
      <c r="A999" t="s">
        <v>1563</v>
      </c>
      <c r="B999" t="s">
        <v>1564</v>
      </c>
      <c r="C999" t="s">
        <v>29</v>
      </c>
      <c r="D999">
        <v>71</v>
      </c>
      <c r="E999">
        <v>71</v>
      </c>
      <c r="F999">
        <v>0</v>
      </c>
      <c r="G999" t="s">
        <v>25</v>
      </c>
      <c r="H999" t="s">
        <v>32</v>
      </c>
      <c r="I999" t="s">
        <v>105</v>
      </c>
      <c r="J999" t="s">
        <v>16</v>
      </c>
      <c r="L999">
        <v>8</v>
      </c>
      <c r="M999" s="1">
        <v>45334</v>
      </c>
    </row>
    <row r="1000" spans="1:13" x14ac:dyDescent="0.35">
      <c r="A1000" t="s">
        <v>1565</v>
      </c>
      <c r="B1000" t="s">
        <v>214</v>
      </c>
      <c r="C1000" t="s">
        <v>184</v>
      </c>
      <c r="D1000">
        <v>37</v>
      </c>
      <c r="E1000">
        <v>37</v>
      </c>
      <c r="F1000">
        <v>0</v>
      </c>
      <c r="G1000" t="s">
        <v>14</v>
      </c>
      <c r="H1000" t="s">
        <v>32</v>
      </c>
      <c r="I1000" t="s">
        <v>2153</v>
      </c>
      <c r="J1000" t="s">
        <v>37</v>
      </c>
      <c r="K1000">
        <v>42415</v>
      </c>
      <c r="L1000">
        <v>9</v>
      </c>
      <c r="M1000" s="1">
        <v>45581</v>
      </c>
    </row>
    <row r="1001" spans="1:13" x14ac:dyDescent="0.35">
      <c r="A1001" t="s">
        <v>1566</v>
      </c>
      <c r="B1001" t="s">
        <v>1567</v>
      </c>
      <c r="C1001" t="s">
        <v>29</v>
      </c>
      <c r="D1001">
        <v>24</v>
      </c>
      <c r="E1001">
        <v>24</v>
      </c>
      <c r="F1001">
        <v>0</v>
      </c>
      <c r="G1001" t="s">
        <v>14</v>
      </c>
      <c r="H1001" t="s">
        <v>58</v>
      </c>
      <c r="I1001" t="s">
        <v>15</v>
      </c>
      <c r="J1001" t="s">
        <v>37</v>
      </c>
      <c r="K1001">
        <v>154572</v>
      </c>
      <c r="L1001">
        <v>6</v>
      </c>
      <c r="M1001" s="1">
        <v>45346</v>
      </c>
    </row>
    <row r="1002" spans="1:13" x14ac:dyDescent="0.35">
      <c r="A1002" t="s">
        <v>1568</v>
      </c>
      <c r="B1002" t="s">
        <v>1604</v>
      </c>
      <c r="C1002" t="s">
        <v>117</v>
      </c>
      <c r="D1002">
        <v>15</v>
      </c>
      <c r="E1002">
        <v>15</v>
      </c>
      <c r="F1002">
        <v>0</v>
      </c>
      <c r="G1002" t="s">
        <v>14</v>
      </c>
      <c r="H1002" t="s">
        <v>19</v>
      </c>
      <c r="I1002" t="s">
        <v>15</v>
      </c>
      <c r="J1002" t="s">
        <v>20</v>
      </c>
      <c r="K1002">
        <v>85026</v>
      </c>
      <c r="L1002">
        <v>1</v>
      </c>
      <c r="M1002" s="1">
        <v>45414</v>
      </c>
    </row>
    <row r="1003" spans="1:13" x14ac:dyDescent="0.35">
      <c r="A1003" t="s">
        <v>1569</v>
      </c>
      <c r="B1003" t="s">
        <v>332</v>
      </c>
      <c r="C1003" t="s">
        <v>45</v>
      </c>
      <c r="D1003">
        <v>24</v>
      </c>
      <c r="E1003">
        <v>24</v>
      </c>
      <c r="F1003">
        <v>0</v>
      </c>
      <c r="G1003" t="s">
        <v>14</v>
      </c>
      <c r="H1003" t="s">
        <v>19</v>
      </c>
      <c r="I1003" t="s">
        <v>88</v>
      </c>
      <c r="J1003" t="s">
        <v>20</v>
      </c>
      <c r="K1003">
        <v>60890</v>
      </c>
      <c r="L1003">
        <v>9</v>
      </c>
      <c r="M1003" s="1">
        <v>45396</v>
      </c>
    </row>
    <row r="1004" spans="1:13" x14ac:dyDescent="0.35">
      <c r="A1004" t="s">
        <v>1570</v>
      </c>
      <c r="B1004" t="s">
        <v>302</v>
      </c>
      <c r="C1004" t="s">
        <v>117</v>
      </c>
      <c r="D1004">
        <v>39</v>
      </c>
      <c r="E1004">
        <v>39</v>
      </c>
      <c r="F1004">
        <v>0</v>
      </c>
      <c r="G1004" t="s">
        <v>25</v>
      </c>
      <c r="H1004" t="s">
        <v>99</v>
      </c>
      <c r="I1004" t="s">
        <v>15</v>
      </c>
      <c r="J1004" t="s">
        <v>40</v>
      </c>
      <c r="L1004">
        <v>8</v>
      </c>
      <c r="M1004" s="1">
        <v>45457</v>
      </c>
    </row>
    <row r="1005" spans="1:13" x14ac:dyDescent="0.35">
      <c r="A1005" t="s">
        <v>1571</v>
      </c>
      <c r="B1005" t="s">
        <v>711</v>
      </c>
      <c r="C1005" t="s">
        <v>117</v>
      </c>
      <c r="D1005">
        <v>24</v>
      </c>
      <c r="E1005">
        <v>24</v>
      </c>
      <c r="F1005">
        <v>0</v>
      </c>
      <c r="G1005" t="s">
        <v>14</v>
      </c>
      <c r="H1005" t="s">
        <v>19</v>
      </c>
      <c r="I1005" t="s">
        <v>88</v>
      </c>
      <c r="J1005" t="s">
        <v>26</v>
      </c>
      <c r="L1005">
        <v>7</v>
      </c>
      <c r="M1005" s="1">
        <v>45532</v>
      </c>
    </row>
    <row r="1006" spans="1:13" x14ac:dyDescent="0.35">
      <c r="A1006" t="s">
        <v>2187</v>
      </c>
      <c r="B1006" t="s">
        <v>1572</v>
      </c>
      <c r="C1006" t="s">
        <v>13</v>
      </c>
      <c r="D1006">
        <v>12</v>
      </c>
      <c r="E1006">
        <v>12</v>
      </c>
      <c r="F1006">
        <v>0</v>
      </c>
      <c r="G1006" t="s">
        <v>14</v>
      </c>
      <c r="H1006" t="s">
        <v>99</v>
      </c>
      <c r="I1006" t="s">
        <v>15</v>
      </c>
      <c r="J1006" t="s">
        <v>26</v>
      </c>
      <c r="L1006">
        <v>3</v>
      </c>
      <c r="M1006" s="1">
        <v>45440</v>
      </c>
    </row>
    <row r="1007" spans="1:13" x14ac:dyDescent="0.35">
      <c r="A1007" t="s">
        <v>1573</v>
      </c>
      <c r="B1007" t="s">
        <v>774</v>
      </c>
      <c r="C1007" t="s">
        <v>154</v>
      </c>
      <c r="D1007">
        <v>19</v>
      </c>
      <c r="E1007">
        <v>19</v>
      </c>
      <c r="F1007">
        <v>0</v>
      </c>
      <c r="G1007" t="s">
        <v>14</v>
      </c>
      <c r="H1007" t="s">
        <v>32</v>
      </c>
      <c r="I1007" t="s">
        <v>105</v>
      </c>
      <c r="J1007" t="s">
        <v>20</v>
      </c>
      <c r="K1007">
        <v>66770</v>
      </c>
      <c r="L1007">
        <v>9</v>
      </c>
      <c r="M1007" s="1">
        <v>45515</v>
      </c>
    </row>
    <row r="1008" spans="1:13" x14ac:dyDescent="0.35">
      <c r="A1008" t="s">
        <v>1574</v>
      </c>
      <c r="B1008" t="s">
        <v>267</v>
      </c>
      <c r="C1008" t="s">
        <v>13</v>
      </c>
      <c r="D1008">
        <v>38</v>
      </c>
      <c r="E1008">
        <v>38</v>
      </c>
      <c r="F1008">
        <v>0</v>
      </c>
      <c r="G1008" t="s">
        <v>14</v>
      </c>
      <c r="H1008" t="s">
        <v>58</v>
      </c>
      <c r="I1008" t="s">
        <v>88</v>
      </c>
      <c r="J1008" t="s">
        <v>40</v>
      </c>
      <c r="L1008">
        <v>4</v>
      </c>
      <c r="M1008" s="1">
        <v>45565</v>
      </c>
    </row>
    <row r="1009" spans="1:13" x14ac:dyDescent="0.35">
      <c r="A1009" t="s">
        <v>1575</v>
      </c>
      <c r="B1009" t="s">
        <v>1576</v>
      </c>
      <c r="C1009" t="s">
        <v>117</v>
      </c>
      <c r="D1009">
        <v>54</v>
      </c>
      <c r="E1009">
        <v>54</v>
      </c>
      <c r="F1009">
        <v>0</v>
      </c>
      <c r="G1009" t="s">
        <v>25</v>
      </c>
      <c r="H1009" t="s">
        <v>32</v>
      </c>
      <c r="I1009" t="s">
        <v>15</v>
      </c>
      <c r="J1009" t="s">
        <v>40</v>
      </c>
      <c r="L1009">
        <v>9</v>
      </c>
      <c r="M1009" s="1">
        <v>45377</v>
      </c>
    </row>
    <row r="1010" spans="1:13" x14ac:dyDescent="0.35">
      <c r="A1010" t="s">
        <v>1577</v>
      </c>
      <c r="B1010" t="s">
        <v>1578</v>
      </c>
      <c r="C1010" t="s">
        <v>119</v>
      </c>
      <c r="D1010">
        <v>8</v>
      </c>
      <c r="E1010">
        <v>8</v>
      </c>
      <c r="F1010">
        <v>0</v>
      </c>
      <c r="G1010" t="s">
        <v>25</v>
      </c>
      <c r="H1010" t="s">
        <v>99</v>
      </c>
      <c r="I1010" t="s">
        <v>2153</v>
      </c>
      <c r="J1010" t="s">
        <v>26</v>
      </c>
      <c r="L1010">
        <v>9</v>
      </c>
      <c r="M1010" s="1">
        <v>45311</v>
      </c>
    </row>
    <row r="1011" spans="1:13" x14ac:dyDescent="0.35">
      <c r="A1011" t="s">
        <v>1579</v>
      </c>
      <c r="B1011" t="s">
        <v>605</v>
      </c>
      <c r="C1011" t="s">
        <v>45</v>
      </c>
      <c r="D1011">
        <v>24</v>
      </c>
      <c r="E1011">
        <v>24</v>
      </c>
      <c r="F1011">
        <v>0</v>
      </c>
      <c r="G1011" t="s">
        <v>25</v>
      </c>
      <c r="H1011" t="s">
        <v>99</v>
      </c>
      <c r="I1011" t="s">
        <v>2154</v>
      </c>
      <c r="J1011" t="s">
        <v>40</v>
      </c>
      <c r="L1011">
        <v>7</v>
      </c>
      <c r="M1011" s="1">
        <v>45574</v>
      </c>
    </row>
    <row r="1012" spans="1:13" x14ac:dyDescent="0.35">
      <c r="A1012" t="s">
        <v>1580</v>
      </c>
      <c r="B1012" t="s">
        <v>153</v>
      </c>
      <c r="C1012" t="s">
        <v>29</v>
      </c>
      <c r="D1012">
        <v>29</v>
      </c>
      <c r="E1012">
        <v>29</v>
      </c>
      <c r="F1012">
        <v>0</v>
      </c>
      <c r="G1012" t="s">
        <v>25</v>
      </c>
      <c r="H1012" t="s">
        <v>58</v>
      </c>
      <c r="I1012" t="s">
        <v>105</v>
      </c>
      <c r="J1012" t="s">
        <v>16</v>
      </c>
      <c r="L1012">
        <v>8</v>
      </c>
      <c r="M1012" s="1">
        <v>45374</v>
      </c>
    </row>
    <row r="1013" spans="1:13" x14ac:dyDescent="0.35">
      <c r="A1013" t="s">
        <v>1581</v>
      </c>
      <c r="B1013" t="s">
        <v>1582</v>
      </c>
      <c r="C1013" t="s">
        <v>45</v>
      </c>
      <c r="D1013">
        <v>29</v>
      </c>
      <c r="E1013">
        <v>29</v>
      </c>
      <c r="F1013">
        <v>0</v>
      </c>
      <c r="G1013" t="s">
        <v>14</v>
      </c>
      <c r="H1013" t="s">
        <v>32</v>
      </c>
      <c r="I1013" t="s">
        <v>88</v>
      </c>
      <c r="J1013" t="s">
        <v>20</v>
      </c>
      <c r="K1013">
        <v>59494</v>
      </c>
      <c r="L1013">
        <v>9</v>
      </c>
      <c r="M1013" s="1">
        <v>45377</v>
      </c>
    </row>
    <row r="1014" spans="1:13" x14ac:dyDescent="0.35">
      <c r="A1014" t="s">
        <v>1583</v>
      </c>
      <c r="B1014" t="s">
        <v>731</v>
      </c>
      <c r="C1014" t="s">
        <v>45</v>
      </c>
      <c r="D1014">
        <v>24</v>
      </c>
      <c r="E1014">
        <v>24</v>
      </c>
      <c r="F1014">
        <v>0</v>
      </c>
      <c r="G1014" t="s">
        <v>25</v>
      </c>
      <c r="H1014" t="s">
        <v>19</v>
      </c>
      <c r="I1014" t="s">
        <v>2153</v>
      </c>
      <c r="J1014" t="s">
        <v>37</v>
      </c>
      <c r="K1014">
        <v>37507</v>
      </c>
      <c r="L1014">
        <v>1</v>
      </c>
      <c r="M1014" s="1">
        <v>45314</v>
      </c>
    </row>
    <row r="1015" spans="1:13" x14ac:dyDescent="0.35">
      <c r="A1015" t="s">
        <v>1584</v>
      </c>
      <c r="B1015" t="s">
        <v>906</v>
      </c>
      <c r="C1015" t="s">
        <v>13</v>
      </c>
      <c r="D1015">
        <v>17</v>
      </c>
      <c r="E1015">
        <v>17</v>
      </c>
      <c r="F1015">
        <v>0</v>
      </c>
      <c r="G1015" t="s">
        <v>25</v>
      </c>
      <c r="H1015" t="s">
        <v>99</v>
      </c>
      <c r="I1015" t="s">
        <v>2153</v>
      </c>
      <c r="J1015" t="s">
        <v>26</v>
      </c>
      <c r="L1015">
        <v>3</v>
      </c>
      <c r="M1015" s="1">
        <v>45535</v>
      </c>
    </row>
    <row r="1016" spans="1:13" x14ac:dyDescent="0.35">
      <c r="A1016" t="s">
        <v>1585</v>
      </c>
      <c r="B1016" t="s">
        <v>1586</v>
      </c>
      <c r="C1016" t="s">
        <v>119</v>
      </c>
      <c r="D1016">
        <v>26</v>
      </c>
      <c r="E1016">
        <v>26</v>
      </c>
      <c r="F1016">
        <v>0</v>
      </c>
      <c r="G1016" t="s">
        <v>14</v>
      </c>
      <c r="H1016" t="s">
        <v>99</v>
      </c>
      <c r="I1016" t="s">
        <v>2153</v>
      </c>
      <c r="J1016" t="s">
        <v>16</v>
      </c>
      <c r="L1016">
        <v>2</v>
      </c>
      <c r="M1016" s="1">
        <v>45297</v>
      </c>
    </row>
    <row r="1017" spans="1:13" x14ac:dyDescent="0.35">
      <c r="A1017" t="s">
        <v>1587</v>
      </c>
      <c r="B1017" t="s">
        <v>432</v>
      </c>
      <c r="C1017" t="s">
        <v>172</v>
      </c>
      <c r="D1017">
        <v>47</v>
      </c>
      <c r="E1017">
        <v>47</v>
      </c>
      <c r="F1017">
        <v>0</v>
      </c>
      <c r="G1017" t="s">
        <v>14</v>
      </c>
      <c r="H1017" t="s">
        <v>32</v>
      </c>
      <c r="I1017" t="s">
        <v>15</v>
      </c>
      <c r="J1017" t="s">
        <v>26</v>
      </c>
      <c r="L1017">
        <v>6</v>
      </c>
      <c r="M1017" s="1">
        <v>45430</v>
      </c>
    </row>
    <row r="1018" spans="1:13" x14ac:dyDescent="0.35">
      <c r="A1018" t="s">
        <v>1588</v>
      </c>
      <c r="B1018" t="s">
        <v>1046</v>
      </c>
      <c r="C1018" t="s">
        <v>29</v>
      </c>
      <c r="D1018">
        <v>25</v>
      </c>
      <c r="E1018">
        <v>25</v>
      </c>
      <c r="F1018">
        <v>0</v>
      </c>
      <c r="G1018" t="s">
        <v>25</v>
      </c>
      <c r="H1018" t="s">
        <v>19</v>
      </c>
      <c r="I1018" t="s">
        <v>2154</v>
      </c>
      <c r="J1018" t="s">
        <v>40</v>
      </c>
      <c r="L1018">
        <v>8</v>
      </c>
      <c r="M1018" s="1">
        <v>45398</v>
      </c>
    </row>
    <row r="1019" spans="1:13" x14ac:dyDescent="0.35">
      <c r="A1019" t="s">
        <v>1589</v>
      </c>
      <c r="B1019" t="s">
        <v>998</v>
      </c>
      <c r="C1019" t="s">
        <v>119</v>
      </c>
      <c r="D1019">
        <v>33</v>
      </c>
      <c r="E1019">
        <v>33</v>
      </c>
      <c r="F1019">
        <v>0</v>
      </c>
      <c r="G1019" t="s">
        <v>14</v>
      </c>
      <c r="H1019" t="s">
        <v>99</v>
      </c>
      <c r="I1019" t="s">
        <v>88</v>
      </c>
      <c r="J1019" t="s">
        <v>40</v>
      </c>
      <c r="L1019">
        <v>4</v>
      </c>
      <c r="M1019" s="1">
        <v>45483</v>
      </c>
    </row>
    <row r="1020" spans="1:13" x14ac:dyDescent="0.35">
      <c r="A1020" t="s">
        <v>1590</v>
      </c>
      <c r="B1020" t="s">
        <v>432</v>
      </c>
      <c r="C1020" t="s">
        <v>117</v>
      </c>
      <c r="D1020">
        <v>30</v>
      </c>
      <c r="E1020">
        <v>30</v>
      </c>
      <c r="F1020">
        <v>0</v>
      </c>
      <c r="G1020" t="s">
        <v>14</v>
      </c>
      <c r="H1020" t="s">
        <v>99</v>
      </c>
      <c r="I1020" t="s">
        <v>2153</v>
      </c>
      <c r="J1020" t="s">
        <v>37</v>
      </c>
      <c r="K1020">
        <v>30000</v>
      </c>
      <c r="L1020">
        <v>5</v>
      </c>
      <c r="M1020" s="1">
        <v>45434</v>
      </c>
    </row>
    <row r="1021" spans="1:13" x14ac:dyDescent="0.35">
      <c r="A1021" t="s">
        <v>1591</v>
      </c>
      <c r="B1021" t="s">
        <v>764</v>
      </c>
      <c r="C1021" t="s">
        <v>45</v>
      </c>
      <c r="D1021">
        <v>80</v>
      </c>
      <c r="E1021">
        <v>80</v>
      </c>
      <c r="F1021">
        <v>0</v>
      </c>
      <c r="G1021" t="s">
        <v>14</v>
      </c>
      <c r="H1021" t="s">
        <v>32</v>
      </c>
      <c r="I1021" t="s">
        <v>2153</v>
      </c>
      <c r="J1021" t="s">
        <v>16</v>
      </c>
      <c r="L1021">
        <v>3</v>
      </c>
      <c r="M1021" s="1">
        <v>45366</v>
      </c>
    </row>
    <row r="1022" spans="1:13" x14ac:dyDescent="0.35">
      <c r="A1022" t="s">
        <v>1592</v>
      </c>
      <c r="B1022" t="s">
        <v>943</v>
      </c>
      <c r="C1022" t="s">
        <v>130</v>
      </c>
      <c r="D1022">
        <v>34</v>
      </c>
      <c r="F1022">
        <v>1</v>
      </c>
      <c r="G1022" t="s">
        <v>25</v>
      </c>
      <c r="H1022" t="s">
        <v>99</v>
      </c>
      <c r="I1022" t="s">
        <v>88</v>
      </c>
      <c r="J1022" t="s">
        <v>37</v>
      </c>
      <c r="K1022">
        <v>69512</v>
      </c>
      <c r="L1022">
        <v>9</v>
      </c>
      <c r="M1022" s="1">
        <v>45308</v>
      </c>
    </row>
    <row r="1023" spans="1:13" x14ac:dyDescent="0.35">
      <c r="A1023" t="s">
        <v>1593</v>
      </c>
      <c r="B1023" t="s">
        <v>1594</v>
      </c>
      <c r="C1023" t="s">
        <v>172</v>
      </c>
      <c r="D1023">
        <v>31</v>
      </c>
      <c r="E1023">
        <v>31</v>
      </c>
      <c r="F1023">
        <v>0</v>
      </c>
      <c r="G1023" t="s">
        <v>25</v>
      </c>
      <c r="H1023" t="s">
        <v>58</v>
      </c>
      <c r="I1023" t="s">
        <v>105</v>
      </c>
      <c r="J1023" t="s">
        <v>20</v>
      </c>
      <c r="K1023">
        <v>111851</v>
      </c>
      <c r="L1023">
        <v>3</v>
      </c>
      <c r="M1023" s="1">
        <v>45498</v>
      </c>
    </row>
    <row r="1024" spans="1:13" x14ac:dyDescent="0.35">
      <c r="A1024" t="s">
        <v>1595</v>
      </c>
      <c r="B1024" t="s">
        <v>667</v>
      </c>
      <c r="C1024" t="s">
        <v>119</v>
      </c>
      <c r="D1024">
        <v>58</v>
      </c>
      <c r="E1024">
        <v>58</v>
      </c>
      <c r="F1024">
        <v>0</v>
      </c>
      <c r="G1024" t="s">
        <v>25</v>
      </c>
      <c r="H1024" t="s">
        <v>99</v>
      </c>
      <c r="I1024" t="s">
        <v>15</v>
      </c>
      <c r="J1024" t="s">
        <v>37</v>
      </c>
      <c r="K1024">
        <v>65813</v>
      </c>
      <c r="L1024">
        <v>8</v>
      </c>
      <c r="M1024" s="1">
        <v>45585</v>
      </c>
    </row>
    <row r="1025" spans="1:13" x14ac:dyDescent="0.35">
      <c r="A1025" t="s">
        <v>1596</v>
      </c>
      <c r="B1025" t="s">
        <v>451</v>
      </c>
      <c r="C1025" t="s">
        <v>45</v>
      </c>
      <c r="D1025">
        <v>31</v>
      </c>
      <c r="E1025">
        <v>31</v>
      </c>
      <c r="F1025">
        <v>0</v>
      </c>
      <c r="G1025" t="s">
        <v>25</v>
      </c>
      <c r="H1025" t="s">
        <v>19</v>
      </c>
      <c r="I1025" t="s">
        <v>105</v>
      </c>
      <c r="J1025" t="s">
        <v>37</v>
      </c>
      <c r="K1025">
        <v>41826</v>
      </c>
      <c r="L1025">
        <v>3</v>
      </c>
      <c r="M1025" s="1">
        <v>45537</v>
      </c>
    </row>
    <row r="1026" spans="1:13" x14ac:dyDescent="0.35">
      <c r="A1026" t="s">
        <v>1597</v>
      </c>
      <c r="B1026" t="s">
        <v>1598</v>
      </c>
      <c r="C1026" t="s">
        <v>29</v>
      </c>
      <c r="D1026">
        <v>4</v>
      </c>
      <c r="E1026">
        <v>4</v>
      </c>
      <c r="F1026">
        <v>0</v>
      </c>
      <c r="G1026" t="s">
        <v>14</v>
      </c>
      <c r="H1026" t="s">
        <v>99</v>
      </c>
      <c r="I1026" t="s">
        <v>88</v>
      </c>
      <c r="J1026" t="s">
        <v>26</v>
      </c>
      <c r="L1026">
        <v>8</v>
      </c>
      <c r="M1026" s="1">
        <v>45516</v>
      </c>
    </row>
    <row r="1027" spans="1:13" x14ac:dyDescent="0.35">
      <c r="A1027" t="s">
        <v>1599</v>
      </c>
      <c r="B1027" t="s">
        <v>138</v>
      </c>
      <c r="C1027" t="s">
        <v>172</v>
      </c>
      <c r="D1027">
        <v>22</v>
      </c>
      <c r="E1027">
        <v>22</v>
      </c>
      <c r="F1027">
        <v>0</v>
      </c>
      <c r="G1027" t="s">
        <v>14</v>
      </c>
      <c r="H1027" t="s">
        <v>19</v>
      </c>
      <c r="I1027" t="s">
        <v>105</v>
      </c>
      <c r="J1027" t="s">
        <v>26</v>
      </c>
      <c r="L1027">
        <v>1</v>
      </c>
      <c r="M1027" s="1">
        <v>45502</v>
      </c>
    </row>
    <row r="1028" spans="1:13" x14ac:dyDescent="0.35">
      <c r="A1028" t="s">
        <v>1600</v>
      </c>
      <c r="B1028" t="s">
        <v>779</v>
      </c>
      <c r="C1028" t="s">
        <v>117</v>
      </c>
      <c r="D1028">
        <v>14</v>
      </c>
      <c r="E1028">
        <v>14</v>
      </c>
      <c r="F1028">
        <v>0</v>
      </c>
      <c r="G1028" t="s">
        <v>25</v>
      </c>
      <c r="H1028" t="s">
        <v>99</v>
      </c>
      <c r="I1028" t="s">
        <v>88</v>
      </c>
      <c r="J1028" t="s">
        <v>26</v>
      </c>
      <c r="L1028">
        <v>2</v>
      </c>
      <c r="M1028" s="1">
        <v>45583</v>
      </c>
    </row>
    <row r="1029" spans="1:13" x14ac:dyDescent="0.35">
      <c r="A1029" t="s">
        <v>1601</v>
      </c>
      <c r="B1029" t="s">
        <v>714</v>
      </c>
      <c r="C1029" t="s">
        <v>29</v>
      </c>
      <c r="D1029">
        <v>43</v>
      </c>
      <c r="E1029">
        <v>43</v>
      </c>
      <c r="F1029">
        <v>0</v>
      </c>
      <c r="G1029" t="s">
        <v>14</v>
      </c>
      <c r="H1029" t="s">
        <v>32</v>
      </c>
      <c r="I1029" t="s">
        <v>2154</v>
      </c>
      <c r="J1029" t="s">
        <v>37</v>
      </c>
      <c r="K1029">
        <v>77227</v>
      </c>
      <c r="L1029">
        <v>6</v>
      </c>
      <c r="M1029" s="1">
        <v>45490</v>
      </c>
    </row>
    <row r="1030" spans="1:13" x14ac:dyDescent="0.35">
      <c r="A1030" t="s">
        <v>1602</v>
      </c>
      <c r="B1030" t="s">
        <v>1603</v>
      </c>
      <c r="C1030" t="s">
        <v>130</v>
      </c>
      <c r="D1030">
        <v>35</v>
      </c>
      <c r="E1030">
        <v>35</v>
      </c>
      <c r="F1030">
        <v>0</v>
      </c>
      <c r="G1030" t="s">
        <v>25</v>
      </c>
      <c r="H1030" t="s">
        <v>32</v>
      </c>
      <c r="I1030" t="s">
        <v>15</v>
      </c>
      <c r="J1030" t="s">
        <v>40</v>
      </c>
      <c r="L1030">
        <v>3</v>
      </c>
      <c r="M1030" s="1">
        <v>45569</v>
      </c>
    </row>
    <row r="1031" spans="1:13" x14ac:dyDescent="0.35">
      <c r="A1031" t="s">
        <v>1605</v>
      </c>
      <c r="B1031" t="s">
        <v>1606</v>
      </c>
      <c r="C1031" t="s">
        <v>45</v>
      </c>
      <c r="D1031">
        <v>22</v>
      </c>
      <c r="E1031">
        <v>22</v>
      </c>
      <c r="F1031">
        <v>0</v>
      </c>
      <c r="G1031" t="s">
        <v>25</v>
      </c>
      <c r="H1031" t="s">
        <v>99</v>
      </c>
      <c r="I1031" t="s">
        <v>105</v>
      </c>
      <c r="J1031" t="s">
        <v>40</v>
      </c>
      <c r="L1031">
        <v>4</v>
      </c>
      <c r="M1031" s="1">
        <v>45439</v>
      </c>
    </row>
    <row r="1032" spans="1:13" x14ac:dyDescent="0.35">
      <c r="A1032" t="s">
        <v>1607</v>
      </c>
      <c r="B1032" t="s">
        <v>1608</v>
      </c>
      <c r="C1032" t="s">
        <v>13</v>
      </c>
      <c r="D1032">
        <v>12</v>
      </c>
      <c r="E1032">
        <v>12</v>
      </c>
      <c r="F1032">
        <v>0</v>
      </c>
      <c r="G1032" t="s">
        <v>25</v>
      </c>
      <c r="H1032" t="s">
        <v>99</v>
      </c>
      <c r="I1032" t="s">
        <v>2154</v>
      </c>
      <c r="J1032" t="s">
        <v>26</v>
      </c>
      <c r="L1032">
        <v>3</v>
      </c>
      <c r="M1032" s="1">
        <v>45570</v>
      </c>
    </row>
    <row r="1033" spans="1:13" x14ac:dyDescent="0.35">
      <c r="A1033" t="s">
        <v>2188</v>
      </c>
      <c r="B1033" t="s">
        <v>229</v>
      </c>
      <c r="C1033" t="s">
        <v>13</v>
      </c>
      <c r="D1033">
        <v>15</v>
      </c>
      <c r="E1033">
        <v>15</v>
      </c>
      <c r="F1033">
        <v>0</v>
      </c>
      <c r="G1033" t="s">
        <v>25</v>
      </c>
      <c r="H1033" t="s">
        <v>99</v>
      </c>
      <c r="I1033" t="s">
        <v>88</v>
      </c>
      <c r="J1033" t="s">
        <v>16</v>
      </c>
      <c r="L1033">
        <v>4</v>
      </c>
      <c r="M1033" s="1">
        <v>45345</v>
      </c>
    </row>
    <row r="1034" spans="1:13" x14ac:dyDescent="0.35">
      <c r="A1034" t="s">
        <v>1609</v>
      </c>
      <c r="B1034" t="s">
        <v>954</v>
      </c>
      <c r="C1034" t="s">
        <v>69</v>
      </c>
      <c r="D1034">
        <v>61</v>
      </c>
      <c r="E1034">
        <v>61</v>
      </c>
      <c r="F1034">
        <v>0</v>
      </c>
      <c r="G1034" t="s">
        <v>25</v>
      </c>
      <c r="H1034" t="s">
        <v>99</v>
      </c>
      <c r="I1034" t="s">
        <v>15</v>
      </c>
      <c r="J1034" t="s">
        <v>26</v>
      </c>
      <c r="L1034">
        <v>5</v>
      </c>
      <c r="M1034" s="1">
        <v>45488</v>
      </c>
    </row>
    <row r="1035" spans="1:13" x14ac:dyDescent="0.35">
      <c r="A1035" t="s">
        <v>1610</v>
      </c>
      <c r="B1035" t="s">
        <v>643</v>
      </c>
      <c r="C1035" t="s">
        <v>184</v>
      </c>
      <c r="D1035">
        <v>75</v>
      </c>
      <c r="E1035">
        <v>75</v>
      </c>
      <c r="F1035">
        <v>0</v>
      </c>
      <c r="G1035" t="s">
        <v>14</v>
      </c>
      <c r="H1035" t="s">
        <v>19</v>
      </c>
      <c r="I1035" t="s">
        <v>15</v>
      </c>
      <c r="J1035" t="s">
        <v>37</v>
      </c>
      <c r="K1035">
        <v>62034</v>
      </c>
      <c r="L1035">
        <v>1</v>
      </c>
      <c r="M1035" s="1">
        <v>45314</v>
      </c>
    </row>
    <row r="1036" spans="1:13" x14ac:dyDescent="0.35">
      <c r="A1036" t="s">
        <v>1611</v>
      </c>
      <c r="B1036" t="s">
        <v>160</v>
      </c>
      <c r="C1036" t="s">
        <v>184</v>
      </c>
      <c r="D1036">
        <v>39</v>
      </c>
      <c r="E1036">
        <v>39</v>
      </c>
      <c r="F1036">
        <v>0</v>
      </c>
      <c r="G1036" t="s">
        <v>25</v>
      </c>
      <c r="H1036" t="s">
        <v>58</v>
      </c>
      <c r="I1036" t="s">
        <v>15</v>
      </c>
      <c r="J1036" t="s">
        <v>26</v>
      </c>
      <c r="L1036">
        <v>7</v>
      </c>
      <c r="M1036" s="1">
        <v>45432</v>
      </c>
    </row>
    <row r="1037" spans="1:13" x14ac:dyDescent="0.35">
      <c r="A1037" t="s">
        <v>1612</v>
      </c>
      <c r="B1037" t="s">
        <v>1613</v>
      </c>
      <c r="C1037" t="s">
        <v>119</v>
      </c>
      <c r="D1037">
        <v>26</v>
      </c>
      <c r="E1037">
        <v>26</v>
      </c>
      <c r="F1037">
        <v>0</v>
      </c>
      <c r="G1037" t="s">
        <v>14</v>
      </c>
      <c r="H1037" t="s">
        <v>99</v>
      </c>
      <c r="I1037" t="s">
        <v>2153</v>
      </c>
      <c r="J1037" t="s">
        <v>40</v>
      </c>
      <c r="L1037">
        <v>4</v>
      </c>
      <c r="M1037" s="1">
        <v>45355</v>
      </c>
    </row>
    <row r="1038" spans="1:13" x14ac:dyDescent="0.35">
      <c r="A1038" t="s">
        <v>1614</v>
      </c>
      <c r="B1038" t="s">
        <v>279</v>
      </c>
      <c r="C1038" t="s">
        <v>130</v>
      </c>
      <c r="D1038">
        <v>41</v>
      </c>
      <c r="E1038">
        <v>41</v>
      </c>
      <c r="F1038">
        <v>0</v>
      </c>
      <c r="G1038" t="s">
        <v>25</v>
      </c>
      <c r="H1038" t="s">
        <v>99</v>
      </c>
      <c r="I1038" t="s">
        <v>105</v>
      </c>
      <c r="J1038" t="s">
        <v>40</v>
      </c>
      <c r="L1038">
        <v>9</v>
      </c>
      <c r="M1038" s="1">
        <v>45329</v>
      </c>
    </row>
    <row r="1039" spans="1:13" x14ac:dyDescent="0.35">
      <c r="A1039" t="s">
        <v>1615</v>
      </c>
      <c r="B1039" t="s">
        <v>1452</v>
      </c>
      <c r="C1039" t="s">
        <v>172</v>
      </c>
      <c r="D1039">
        <v>61</v>
      </c>
      <c r="E1039">
        <v>61</v>
      </c>
      <c r="F1039">
        <v>0</v>
      </c>
      <c r="G1039" t="s">
        <v>25</v>
      </c>
      <c r="H1039" t="s">
        <v>19</v>
      </c>
      <c r="I1039" t="s">
        <v>2153</v>
      </c>
      <c r="J1039" t="s">
        <v>40</v>
      </c>
      <c r="L1039">
        <v>1</v>
      </c>
      <c r="M1039" s="1">
        <v>45378</v>
      </c>
    </row>
    <row r="1040" spans="1:13" x14ac:dyDescent="0.35">
      <c r="A1040" t="s">
        <v>1616</v>
      </c>
      <c r="B1040" t="s">
        <v>1617</v>
      </c>
      <c r="C1040" t="s">
        <v>45</v>
      </c>
      <c r="D1040">
        <v>21</v>
      </c>
      <c r="E1040">
        <v>21</v>
      </c>
      <c r="F1040">
        <v>0</v>
      </c>
      <c r="G1040" t="s">
        <v>25</v>
      </c>
      <c r="H1040" t="s">
        <v>58</v>
      </c>
      <c r="I1040" t="s">
        <v>2154</v>
      </c>
      <c r="J1040" t="s">
        <v>40</v>
      </c>
      <c r="L1040">
        <v>9</v>
      </c>
      <c r="M1040" s="1">
        <v>45488</v>
      </c>
    </row>
    <row r="1041" spans="1:13" x14ac:dyDescent="0.35">
      <c r="A1041" t="s">
        <v>1618</v>
      </c>
      <c r="B1041" t="s">
        <v>719</v>
      </c>
      <c r="C1041" t="s">
        <v>45</v>
      </c>
      <c r="D1041">
        <v>31</v>
      </c>
      <c r="E1041">
        <v>31</v>
      </c>
      <c r="F1041">
        <v>0</v>
      </c>
      <c r="G1041" t="s">
        <v>14</v>
      </c>
      <c r="H1041" t="s">
        <v>99</v>
      </c>
      <c r="I1041" t="s">
        <v>2154</v>
      </c>
      <c r="J1041" t="s">
        <v>20</v>
      </c>
      <c r="K1041">
        <v>53531</v>
      </c>
      <c r="L1041">
        <v>7</v>
      </c>
      <c r="M1041" s="1">
        <v>45604</v>
      </c>
    </row>
    <row r="1042" spans="1:13" x14ac:dyDescent="0.35">
      <c r="A1042" t="s">
        <v>1619</v>
      </c>
      <c r="B1042" t="s">
        <v>1620</v>
      </c>
      <c r="C1042" t="s">
        <v>45</v>
      </c>
      <c r="D1042">
        <v>25</v>
      </c>
      <c r="E1042">
        <v>25</v>
      </c>
      <c r="F1042">
        <v>0</v>
      </c>
      <c r="G1042" t="s">
        <v>14</v>
      </c>
      <c r="H1042" t="s">
        <v>58</v>
      </c>
      <c r="I1042" t="s">
        <v>88</v>
      </c>
      <c r="J1042" t="s">
        <v>16</v>
      </c>
      <c r="L1042">
        <v>6</v>
      </c>
      <c r="M1042" s="1">
        <v>45394</v>
      </c>
    </row>
    <row r="1043" spans="1:13" x14ac:dyDescent="0.35">
      <c r="A1043" t="s">
        <v>1621</v>
      </c>
      <c r="B1043" t="s">
        <v>277</v>
      </c>
      <c r="C1043" t="s">
        <v>154</v>
      </c>
      <c r="D1043">
        <v>70</v>
      </c>
      <c r="E1043">
        <v>70</v>
      </c>
      <c r="F1043">
        <v>0</v>
      </c>
      <c r="G1043" t="s">
        <v>14</v>
      </c>
      <c r="H1043" t="s">
        <v>99</v>
      </c>
      <c r="I1043" t="s">
        <v>88</v>
      </c>
      <c r="J1043" t="s">
        <v>40</v>
      </c>
      <c r="L1043">
        <v>9</v>
      </c>
      <c r="M1043" s="1">
        <v>45339</v>
      </c>
    </row>
    <row r="1044" spans="1:13" x14ac:dyDescent="0.35">
      <c r="A1044" t="s">
        <v>1622</v>
      </c>
      <c r="B1044" t="s">
        <v>463</v>
      </c>
      <c r="C1044" t="s">
        <v>154</v>
      </c>
      <c r="D1044">
        <v>21</v>
      </c>
      <c r="E1044">
        <v>21</v>
      </c>
      <c r="F1044">
        <v>0</v>
      </c>
      <c r="G1044" t="s">
        <v>14</v>
      </c>
      <c r="H1044" t="s">
        <v>99</v>
      </c>
      <c r="I1044" t="s">
        <v>15</v>
      </c>
      <c r="J1044" t="s">
        <v>26</v>
      </c>
      <c r="L1044">
        <v>1</v>
      </c>
      <c r="M1044" s="1">
        <v>45354</v>
      </c>
    </row>
    <row r="1045" spans="1:13" x14ac:dyDescent="0.35">
      <c r="A1045" t="s">
        <v>1623</v>
      </c>
      <c r="B1045" t="s">
        <v>64</v>
      </c>
      <c r="C1045" t="s">
        <v>172</v>
      </c>
      <c r="D1045">
        <v>51</v>
      </c>
      <c r="E1045">
        <v>51</v>
      </c>
      <c r="F1045">
        <v>0</v>
      </c>
      <c r="G1045" t="s">
        <v>25</v>
      </c>
      <c r="H1045" t="s">
        <v>99</v>
      </c>
      <c r="I1045" t="s">
        <v>15</v>
      </c>
      <c r="J1045" t="s">
        <v>40</v>
      </c>
      <c r="L1045">
        <v>6</v>
      </c>
      <c r="M1045" s="1">
        <v>45436</v>
      </c>
    </row>
    <row r="1046" spans="1:13" x14ac:dyDescent="0.35">
      <c r="A1046" t="s">
        <v>1624</v>
      </c>
      <c r="B1046" t="s">
        <v>699</v>
      </c>
      <c r="C1046" t="s">
        <v>29</v>
      </c>
      <c r="D1046">
        <v>45</v>
      </c>
      <c r="E1046">
        <v>45</v>
      </c>
      <c r="F1046">
        <v>0</v>
      </c>
      <c r="G1046" t="s">
        <v>25</v>
      </c>
      <c r="H1046" t="s">
        <v>32</v>
      </c>
      <c r="I1046" t="s">
        <v>105</v>
      </c>
      <c r="J1046" t="s">
        <v>37</v>
      </c>
      <c r="K1046">
        <v>51506</v>
      </c>
      <c r="L1046">
        <v>6</v>
      </c>
      <c r="M1046" s="1">
        <v>45343</v>
      </c>
    </row>
    <row r="1047" spans="1:13" x14ac:dyDescent="0.35">
      <c r="A1047" t="s">
        <v>1625</v>
      </c>
      <c r="B1047" t="s">
        <v>316</v>
      </c>
      <c r="C1047" t="s">
        <v>184</v>
      </c>
      <c r="D1047">
        <v>57</v>
      </c>
      <c r="E1047">
        <v>57</v>
      </c>
      <c r="F1047">
        <v>0</v>
      </c>
      <c r="G1047" t="s">
        <v>14</v>
      </c>
      <c r="H1047" t="s">
        <v>32</v>
      </c>
      <c r="I1047" t="s">
        <v>105</v>
      </c>
      <c r="J1047" t="s">
        <v>26</v>
      </c>
      <c r="L1047">
        <v>4</v>
      </c>
      <c r="M1047" s="1">
        <v>45445</v>
      </c>
    </row>
    <row r="1048" spans="1:13" x14ac:dyDescent="0.35">
      <c r="A1048" t="s">
        <v>1626</v>
      </c>
      <c r="B1048" t="s">
        <v>1627</v>
      </c>
      <c r="C1048" t="s">
        <v>29</v>
      </c>
      <c r="D1048">
        <v>41</v>
      </c>
      <c r="E1048">
        <v>41</v>
      </c>
      <c r="F1048">
        <v>0</v>
      </c>
      <c r="G1048" t="s">
        <v>25</v>
      </c>
      <c r="H1048" t="s">
        <v>19</v>
      </c>
      <c r="I1048" t="s">
        <v>2153</v>
      </c>
      <c r="J1048" t="s">
        <v>20</v>
      </c>
      <c r="K1048">
        <v>54770</v>
      </c>
      <c r="L1048">
        <v>3</v>
      </c>
      <c r="M1048" s="1">
        <v>45434</v>
      </c>
    </row>
    <row r="1049" spans="1:13" x14ac:dyDescent="0.35">
      <c r="A1049" t="s">
        <v>1628</v>
      </c>
      <c r="B1049" t="s">
        <v>488</v>
      </c>
      <c r="C1049" t="s">
        <v>69</v>
      </c>
      <c r="D1049">
        <v>42</v>
      </c>
      <c r="E1049">
        <v>42</v>
      </c>
      <c r="F1049">
        <v>0</v>
      </c>
      <c r="G1049" t="s">
        <v>25</v>
      </c>
      <c r="H1049" t="s">
        <v>19</v>
      </c>
      <c r="I1049" t="s">
        <v>105</v>
      </c>
      <c r="J1049" t="s">
        <v>37</v>
      </c>
      <c r="K1049">
        <v>49210</v>
      </c>
      <c r="L1049">
        <v>5</v>
      </c>
      <c r="M1049" s="1">
        <v>45533</v>
      </c>
    </row>
    <row r="1050" spans="1:13" x14ac:dyDescent="0.35">
      <c r="A1050" t="s">
        <v>1629</v>
      </c>
      <c r="B1050" t="s">
        <v>430</v>
      </c>
      <c r="C1050" t="s">
        <v>184</v>
      </c>
      <c r="D1050">
        <v>2</v>
      </c>
      <c r="E1050">
        <v>2</v>
      </c>
      <c r="F1050">
        <v>0</v>
      </c>
      <c r="G1050" t="s">
        <v>14</v>
      </c>
      <c r="H1050" t="s">
        <v>99</v>
      </c>
      <c r="I1050" t="s">
        <v>2153</v>
      </c>
      <c r="J1050" t="s">
        <v>26</v>
      </c>
      <c r="L1050">
        <v>2</v>
      </c>
      <c r="M1050" s="1">
        <v>45561</v>
      </c>
    </row>
    <row r="1051" spans="1:13" x14ac:dyDescent="0.35">
      <c r="A1051" t="s">
        <v>1630</v>
      </c>
      <c r="B1051" t="s">
        <v>1631</v>
      </c>
      <c r="C1051" t="s">
        <v>184</v>
      </c>
      <c r="D1051">
        <v>29</v>
      </c>
      <c r="E1051">
        <v>29</v>
      </c>
      <c r="F1051">
        <v>0</v>
      </c>
      <c r="G1051" t="s">
        <v>25</v>
      </c>
      <c r="H1051" t="s">
        <v>32</v>
      </c>
      <c r="I1051" t="s">
        <v>15</v>
      </c>
      <c r="J1051" t="s">
        <v>20</v>
      </c>
      <c r="K1051">
        <v>75397</v>
      </c>
      <c r="L1051">
        <v>8</v>
      </c>
      <c r="M1051" s="1">
        <v>45514</v>
      </c>
    </row>
    <row r="1052" spans="1:13" x14ac:dyDescent="0.35">
      <c r="A1052" t="s">
        <v>1632</v>
      </c>
      <c r="B1052" t="s">
        <v>47</v>
      </c>
      <c r="C1052" t="s">
        <v>117</v>
      </c>
      <c r="D1052">
        <v>38</v>
      </c>
      <c r="E1052">
        <v>38</v>
      </c>
      <c r="F1052">
        <v>0</v>
      </c>
      <c r="G1052" t="s">
        <v>14</v>
      </c>
      <c r="H1052" t="s">
        <v>19</v>
      </c>
      <c r="I1052" t="s">
        <v>105</v>
      </c>
      <c r="J1052" t="s">
        <v>37</v>
      </c>
      <c r="K1052">
        <v>32831</v>
      </c>
      <c r="L1052">
        <v>8</v>
      </c>
      <c r="M1052" s="1">
        <v>45318</v>
      </c>
    </row>
    <row r="1053" spans="1:13" x14ac:dyDescent="0.35">
      <c r="A1053" t="s">
        <v>1633</v>
      </c>
      <c r="B1053" t="s">
        <v>180</v>
      </c>
      <c r="C1053" t="s">
        <v>154</v>
      </c>
      <c r="D1053">
        <v>46</v>
      </c>
      <c r="E1053">
        <v>46</v>
      </c>
      <c r="F1053">
        <v>0</v>
      </c>
      <c r="G1053" t="s">
        <v>25</v>
      </c>
      <c r="H1053" t="s">
        <v>19</v>
      </c>
      <c r="I1053" t="s">
        <v>88</v>
      </c>
      <c r="J1053" t="s">
        <v>16</v>
      </c>
      <c r="L1053">
        <v>6</v>
      </c>
      <c r="M1053" s="1">
        <v>45295</v>
      </c>
    </row>
    <row r="1054" spans="1:13" x14ac:dyDescent="0.35">
      <c r="A1054" t="s">
        <v>1634</v>
      </c>
      <c r="B1054" t="s">
        <v>1291</v>
      </c>
      <c r="C1054" t="s">
        <v>130</v>
      </c>
      <c r="D1054">
        <v>31</v>
      </c>
      <c r="E1054">
        <v>31</v>
      </c>
      <c r="F1054">
        <v>0</v>
      </c>
      <c r="G1054" t="s">
        <v>25</v>
      </c>
      <c r="H1054" t="s">
        <v>58</v>
      </c>
      <c r="I1054" t="s">
        <v>105</v>
      </c>
      <c r="J1054" t="s">
        <v>26</v>
      </c>
      <c r="L1054">
        <v>9</v>
      </c>
      <c r="M1054" s="1">
        <v>45434</v>
      </c>
    </row>
    <row r="1055" spans="1:13" x14ac:dyDescent="0.35">
      <c r="A1055" t="s">
        <v>1635</v>
      </c>
      <c r="B1055" t="s">
        <v>1636</v>
      </c>
      <c r="C1055" t="s">
        <v>184</v>
      </c>
      <c r="D1055">
        <v>23</v>
      </c>
      <c r="E1055">
        <v>23</v>
      </c>
      <c r="F1055">
        <v>0</v>
      </c>
      <c r="G1055" t="s">
        <v>14</v>
      </c>
      <c r="H1055" t="s">
        <v>32</v>
      </c>
      <c r="I1055" t="s">
        <v>105</v>
      </c>
      <c r="J1055" t="s">
        <v>37</v>
      </c>
      <c r="K1055">
        <v>38346</v>
      </c>
      <c r="L1055">
        <v>9</v>
      </c>
      <c r="M1055" s="1">
        <v>45456</v>
      </c>
    </row>
    <row r="1056" spans="1:13" x14ac:dyDescent="0.35">
      <c r="A1056" t="s">
        <v>1637</v>
      </c>
      <c r="B1056" t="s">
        <v>277</v>
      </c>
      <c r="C1056" t="s">
        <v>45</v>
      </c>
      <c r="D1056">
        <v>23</v>
      </c>
      <c r="E1056">
        <v>23</v>
      </c>
      <c r="F1056">
        <v>0</v>
      </c>
      <c r="G1056" t="s">
        <v>14</v>
      </c>
      <c r="H1056" t="s">
        <v>99</v>
      </c>
      <c r="I1056" t="s">
        <v>15</v>
      </c>
      <c r="J1056" t="s">
        <v>40</v>
      </c>
      <c r="L1056">
        <v>4</v>
      </c>
      <c r="M1056" s="1">
        <v>45561</v>
      </c>
    </row>
    <row r="1057" spans="1:13" x14ac:dyDescent="0.35">
      <c r="A1057" t="s">
        <v>1638</v>
      </c>
      <c r="B1057" t="s">
        <v>110</v>
      </c>
      <c r="C1057" t="s">
        <v>45</v>
      </c>
      <c r="D1057">
        <v>18</v>
      </c>
      <c r="E1057">
        <v>18</v>
      </c>
      <c r="F1057">
        <v>0</v>
      </c>
      <c r="G1057" t="s">
        <v>14</v>
      </c>
      <c r="H1057" t="s">
        <v>99</v>
      </c>
      <c r="I1057" t="s">
        <v>105</v>
      </c>
      <c r="J1057" t="s">
        <v>40</v>
      </c>
      <c r="L1057">
        <v>1</v>
      </c>
      <c r="M1057" s="1">
        <v>45413</v>
      </c>
    </row>
    <row r="1058" spans="1:13" x14ac:dyDescent="0.35">
      <c r="A1058" t="s">
        <v>1639</v>
      </c>
      <c r="B1058" t="s">
        <v>851</v>
      </c>
      <c r="C1058" t="s">
        <v>117</v>
      </c>
      <c r="D1058">
        <v>24</v>
      </c>
      <c r="E1058">
        <v>24</v>
      </c>
      <c r="F1058">
        <v>0</v>
      </c>
      <c r="G1058" t="s">
        <v>14</v>
      </c>
      <c r="H1058" t="s">
        <v>32</v>
      </c>
      <c r="I1058" t="s">
        <v>15</v>
      </c>
      <c r="J1058" t="s">
        <v>20</v>
      </c>
      <c r="K1058">
        <v>74528</v>
      </c>
      <c r="L1058">
        <v>9</v>
      </c>
      <c r="M1058" s="1">
        <v>45439</v>
      </c>
    </row>
    <row r="1059" spans="1:13" x14ac:dyDescent="0.35">
      <c r="A1059" t="s">
        <v>1640</v>
      </c>
      <c r="B1059" t="s">
        <v>245</v>
      </c>
      <c r="C1059" t="s">
        <v>117</v>
      </c>
      <c r="D1059">
        <v>39</v>
      </c>
      <c r="E1059">
        <v>39</v>
      </c>
      <c r="F1059">
        <v>0</v>
      </c>
      <c r="G1059" t="s">
        <v>14</v>
      </c>
      <c r="H1059" t="s">
        <v>99</v>
      </c>
      <c r="I1059" t="s">
        <v>105</v>
      </c>
      <c r="J1059" t="s">
        <v>37</v>
      </c>
      <c r="K1059">
        <v>30000</v>
      </c>
      <c r="L1059">
        <v>5</v>
      </c>
      <c r="M1059" s="1">
        <v>45469</v>
      </c>
    </row>
    <row r="1060" spans="1:13" x14ac:dyDescent="0.35">
      <c r="A1060" t="s">
        <v>1641</v>
      </c>
      <c r="B1060" t="s">
        <v>1642</v>
      </c>
      <c r="C1060" t="s">
        <v>29</v>
      </c>
      <c r="D1060">
        <v>20</v>
      </c>
      <c r="E1060">
        <v>20</v>
      </c>
      <c r="F1060">
        <v>0</v>
      </c>
      <c r="G1060" t="s">
        <v>25</v>
      </c>
      <c r="H1060" t="s">
        <v>99</v>
      </c>
      <c r="I1060" t="s">
        <v>2154</v>
      </c>
      <c r="J1060" t="s">
        <v>26</v>
      </c>
      <c r="L1060">
        <v>1</v>
      </c>
      <c r="M1060" s="1">
        <v>45313</v>
      </c>
    </row>
    <row r="1061" spans="1:13" x14ac:dyDescent="0.35">
      <c r="A1061" t="s">
        <v>1643</v>
      </c>
      <c r="B1061" t="s">
        <v>101</v>
      </c>
      <c r="C1061" t="s">
        <v>172</v>
      </c>
      <c r="D1061">
        <v>50</v>
      </c>
      <c r="E1061">
        <v>50</v>
      </c>
      <c r="F1061">
        <v>0</v>
      </c>
      <c r="G1061" t="s">
        <v>25</v>
      </c>
      <c r="H1061" t="s">
        <v>99</v>
      </c>
      <c r="I1061" t="s">
        <v>2153</v>
      </c>
      <c r="J1061" t="s">
        <v>16</v>
      </c>
      <c r="L1061">
        <v>9</v>
      </c>
      <c r="M1061" s="1">
        <v>45445</v>
      </c>
    </row>
    <row r="1062" spans="1:13" x14ac:dyDescent="0.35">
      <c r="A1062" t="s">
        <v>1644</v>
      </c>
      <c r="B1062" t="s">
        <v>168</v>
      </c>
      <c r="C1062" t="s">
        <v>29</v>
      </c>
      <c r="D1062">
        <v>17</v>
      </c>
      <c r="E1062">
        <v>17</v>
      </c>
      <c r="F1062">
        <v>0</v>
      </c>
      <c r="G1062" t="s">
        <v>14</v>
      </c>
      <c r="H1062" t="s">
        <v>99</v>
      </c>
      <c r="I1062" t="s">
        <v>2154</v>
      </c>
      <c r="J1062" t="s">
        <v>16</v>
      </c>
      <c r="L1062">
        <v>7</v>
      </c>
      <c r="M1062" s="1">
        <v>45592</v>
      </c>
    </row>
    <row r="1063" spans="1:13" x14ac:dyDescent="0.35">
      <c r="A1063" t="s">
        <v>1645</v>
      </c>
      <c r="B1063" t="s">
        <v>491</v>
      </c>
      <c r="C1063" t="s">
        <v>69</v>
      </c>
      <c r="D1063">
        <v>50</v>
      </c>
      <c r="E1063">
        <v>50</v>
      </c>
      <c r="F1063">
        <v>0</v>
      </c>
      <c r="G1063" t="s">
        <v>25</v>
      </c>
      <c r="H1063" t="s">
        <v>99</v>
      </c>
      <c r="I1063" t="s">
        <v>88</v>
      </c>
      <c r="J1063" t="s">
        <v>37</v>
      </c>
      <c r="K1063">
        <v>39380</v>
      </c>
      <c r="L1063">
        <v>7</v>
      </c>
      <c r="M1063" s="1">
        <v>45504</v>
      </c>
    </row>
    <row r="1064" spans="1:13" x14ac:dyDescent="0.35">
      <c r="A1064" t="s">
        <v>1646</v>
      </c>
      <c r="B1064" t="s">
        <v>1647</v>
      </c>
      <c r="C1064" t="s">
        <v>29</v>
      </c>
      <c r="D1064">
        <v>40</v>
      </c>
      <c r="E1064">
        <v>40</v>
      </c>
      <c r="F1064">
        <v>0</v>
      </c>
      <c r="G1064" t="s">
        <v>25</v>
      </c>
      <c r="H1064" t="s">
        <v>99</v>
      </c>
      <c r="I1064" t="s">
        <v>15</v>
      </c>
      <c r="J1064" t="s">
        <v>40</v>
      </c>
      <c r="L1064">
        <v>3</v>
      </c>
      <c r="M1064" s="1">
        <v>45353</v>
      </c>
    </row>
    <row r="1065" spans="1:13" x14ac:dyDescent="0.35">
      <c r="A1065" t="s">
        <v>1648</v>
      </c>
      <c r="B1065" t="s">
        <v>674</v>
      </c>
      <c r="C1065" t="s">
        <v>184</v>
      </c>
      <c r="D1065">
        <v>35</v>
      </c>
      <c r="F1065">
        <v>1</v>
      </c>
      <c r="G1065" t="s">
        <v>25</v>
      </c>
      <c r="H1065" t="s">
        <v>58</v>
      </c>
      <c r="I1065" t="s">
        <v>2154</v>
      </c>
      <c r="J1065" t="s">
        <v>20</v>
      </c>
      <c r="K1065">
        <v>38920</v>
      </c>
      <c r="L1065">
        <v>2</v>
      </c>
      <c r="M1065" s="1">
        <v>45310</v>
      </c>
    </row>
    <row r="1066" spans="1:13" x14ac:dyDescent="0.35">
      <c r="A1066" t="s">
        <v>1649</v>
      </c>
      <c r="B1066" t="s">
        <v>1586</v>
      </c>
      <c r="C1066" t="s">
        <v>29</v>
      </c>
      <c r="D1066">
        <v>31</v>
      </c>
      <c r="E1066">
        <v>31</v>
      </c>
      <c r="F1066">
        <v>0</v>
      </c>
      <c r="G1066" t="s">
        <v>14</v>
      </c>
      <c r="H1066" t="s">
        <v>32</v>
      </c>
      <c r="I1066" t="s">
        <v>15</v>
      </c>
      <c r="J1066" t="s">
        <v>26</v>
      </c>
      <c r="L1066">
        <v>1</v>
      </c>
      <c r="M1066" s="1">
        <v>45562</v>
      </c>
    </row>
    <row r="1067" spans="1:13" x14ac:dyDescent="0.35">
      <c r="A1067" t="s">
        <v>1650</v>
      </c>
      <c r="B1067" t="s">
        <v>662</v>
      </c>
      <c r="C1067" t="s">
        <v>45</v>
      </c>
      <c r="D1067">
        <v>66</v>
      </c>
      <c r="E1067">
        <v>66</v>
      </c>
      <c r="F1067">
        <v>0</v>
      </c>
      <c r="G1067" t="s">
        <v>25</v>
      </c>
      <c r="H1067" t="s">
        <v>58</v>
      </c>
      <c r="I1067" t="s">
        <v>105</v>
      </c>
      <c r="J1067" t="s">
        <v>16</v>
      </c>
      <c r="L1067">
        <v>7</v>
      </c>
      <c r="M1067" s="1">
        <v>45329</v>
      </c>
    </row>
    <row r="1068" spans="1:13" x14ac:dyDescent="0.35">
      <c r="A1068" t="s">
        <v>1651</v>
      </c>
      <c r="B1068" t="s">
        <v>233</v>
      </c>
      <c r="C1068" t="s">
        <v>154</v>
      </c>
      <c r="D1068">
        <v>1</v>
      </c>
      <c r="E1068">
        <v>1</v>
      </c>
      <c r="F1068">
        <v>0</v>
      </c>
      <c r="G1068" t="s">
        <v>25</v>
      </c>
      <c r="H1068" t="s">
        <v>99</v>
      </c>
      <c r="I1068" t="s">
        <v>2153</v>
      </c>
      <c r="J1068" t="s">
        <v>26</v>
      </c>
      <c r="L1068">
        <v>7</v>
      </c>
      <c r="M1068" s="1">
        <v>45374</v>
      </c>
    </row>
    <row r="1069" spans="1:13" x14ac:dyDescent="0.35">
      <c r="A1069" t="s">
        <v>1652</v>
      </c>
      <c r="B1069" t="s">
        <v>361</v>
      </c>
      <c r="C1069" t="s">
        <v>119</v>
      </c>
      <c r="D1069">
        <v>37</v>
      </c>
      <c r="E1069">
        <v>37</v>
      </c>
      <c r="F1069">
        <v>0</v>
      </c>
      <c r="G1069" t="s">
        <v>25</v>
      </c>
      <c r="H1069" t="s">
        <v>58</v>
      </c>
      <c r="I1069" t="s">
        <v>105</v>
      </c>
      <c r="J1069" t="s">
        <v>37</v>
      </c>
      <c r="K1069">
        <v>60027</v>
      </c>
      <c r="L1069">
        <v>8</v>
      </c>
      <c r="M1069" s="1">
        <v>45443</v>
      </c>
    </row>
    <row r="1070" spans="1:13" x14ac:dyDescent="0.35">
      <c r="A1070" t="s">
        <v>1653</v>
      </c>
      <c r="B1070" t="s">
        <v>1244</v>
      </c>
      <c r="C1070" t="s">
        <v>69</v>
      </c>
      <c r="D1070">
        <v>33</v>
      </c>
      <c r="E1070">
        <v>33</v>
      </c>
      <c r="F1070">
        <v>0</v>
      </c>
      <c r="G1070" t="s">
        <v>14</v>
      </c>
      <c r="H1070" t="s">
        <v>19</v>
      </c>
      <c r="I1070" t="s">
        <v>15</v>
      </c>
      <c r="J1070" t="s">
        <v>40</v>
      </c>
      <c r="L1070">
        <v>9</v>
      </c>
      <c r="M1070" s="1">
        <v>45397</v>
      </c>
    </row>
    <row r="1071" spans="1:13" x14ac:dyDescent="0.35">
      <c r="A1071" t="s">
        <v>1654</v>
      </c>
      <c r="B1071" t="s">
        <v>674</v>
      </c>
      <c r="C1071" t="s">
        <v>172</v>
      </c>
      <c r="D1071">
        <v>52</v>
      </c>
      <c r="E1071">
        <v>52</v>
      </c>
      <c r="F1071">
        <v>0</v>
      </c>
      <c r="G1071" t="s">
        <v>25</v>
      </c>
      <c r="H1071" t="s">
        <v>19</v>
      </c>
      <c r="I1071" t="s">
        <v>15</v>
      </c>
      <c r="J1071" t="s">
        <v>40</v>
      </c>
      <c r="L1071">
        <v>8</v>
      </c>
      <c r="M1071" s="1">
        <v>45324</v>
      </c>
    </row>
    <row r="1072" spans="1:13" x14ac:dyDescent="0.35">
      <c r="A1072" t="s">
        <v>1655</v>
      </c>
      <c r="B1072" t="s">
        <v>1656</v>
      </c>
      <c r="C1072" t="s">
        <v>172</v>
      </c>
      <c r="D1072">
        <v>46</v>
      </c>
      <c r="E1072">
        <v>46</v>
      </c>
      <c r="F1072">
        <v>0</v>
      </c>
      <c r="G1072" t="s">
        <v>25</v>
      </c>
      <c r="H1072" t="s">
        <v>58</v>
      </c>
      <c r="I1072" t="s">
        <v>2154</v>
      </c>
      <c r="J1072" t="s">
        <v>26</v>
      </c>
      <c r="L1072">
        <v>4</v>
      </c>
      <c r="M1072" s="1">
        <v>45531</v>
      </c>
    </row>
    <row r="1073" spans="1:13" x14ac:dyDescent="0.35">
      <c r="A1073" t="s">
        <v>1657</v>
      </c>
      <c r="B1073" t="s">
        <v>85</v>
      </c>
      <c r="C1073" t="s">
        <v>117</v>
      </c>
      <c r="D1073">
        <v>47</v>
      </c>
      <c r="E1073">
        <v>47</v>
      </c>
      <c r="F1073">
        <v>0</v>
      </c>
      <c r="G1073" t="s">
        <v>14</v>
      </c>
      <c r="H1073" t="s">
        <v>99</v>
      </c>
      <c r="I1073" t="s">
        <v>105</v>
      </c>
      <c r="J1073" t="s">
        <v>26</v>
      </c>
      <c r="L1073">
        <v>7</v>
      </c>
      <c r="M1073" s="1">
        <v>45513</v>
      </c>
    </row>
    <row r="1074" spans="1:13" x14ac:dyDescent="0.35">
      <c r="A1074" t="s">
        <v>1658</v>
      </c>
      <c r="B1074" t="s">
        <v>312</v>
      </c>
      <c r="C1074" t="s">
        <v>130</v>
      </c>
      <c r="D1074">
        <v>41</v>
      </c>
      <c r="E1074">
        <v>41</v>
      </c>
      <c r="F1074">
        <v>0</v>
      </c>
      <c r="G1074" t="s">
        <v>14</v>
      </c>
      <c r="H1074" t="s">
        <v>19</v>
      </c>
      <c r="I1074" t="s">
        <v>2153</v>
      </c>
      <c r="J1074" t="s">
        <v>26</v>
      </c>
      <c r="L1074">
        <v>4</v>
      </c>
      <c r="M1074" s="1">
        <v>45418</v>
      </c>
    </row>
    <row r="1075" spans="1:13" x14ac:dyDescent="0.35">
      <c r="A1075" t="s">
        <v>1659</v>
      </c>
      <c r="B1075" t="s">
        <v>1660</v>
      </c>
      <c r="C1075" t="s">
        <v>172</v>
      </c>
      <c r="D1075">
        <v>51</v>
      </c>
      <c r="E1075">
        <v>51</v>
      </c>
      <c r="F1075">
        <v>0</v>
      </c>
      <c r="G1075" t="s">
        <v>25</v>
      </c>
      <c r="H1075" t="s">
        <v>99</v>
      </c>
      <c r="I1075" t="s">
        <v>88</v>
      </c>
      <c r="J1075" t="s">
        <v>37</v>
      </c>
      <c r="K1075">
        <v>67925</v>
      </c>
      <c r="L1075">
        <v>9</v>
      </c>
      <c r="M1075" s="1">
        <v>45364</v>
      </c>
    </row>
    <row r="1076" spans="1:13" x14ac:dyDescent="0.35">
      <c r="A1076" t="s">
        <v>1661</v>
      </c>
      <c r="B1076" t="s">
        <v>970</v>
      </c>
      <c r="C1076" t="s">
        <v>13</v>
      </c>
      <c r="D1076">
        <v>68</v>
      </c>
      <c r="E1076">
        <v>68</v>
      </c>
      <c r="F1076">
        <v>0</v>
      </c>
      <c r="G1076" t="s">
        <v>14</v>
      </c>
      <c r="H1076" t="s">
        <v>58</v>
      </c>
      <c r="I1076" t="s">
        <v>2153</v>
      </c>
      <c r="J1076" t="s">
        <v>26</v>
      </c>
      <c r="L1076">
        <v>7</v>
      </c>
      <c r="M1076" s="1">
        <v>45483</v>
      </c>
    </row>
    <row r="1077" spans="1:13" x14ac:dyDescent="0.35">
      <c r="A1077" t="s">
        <v>1662</v>
      </c>
      <c r="B1077" t="s">
        <v>225</v>
      </c>
      <c r="C1077" t="s">
        <v>13</v>
      </c>
      <c r="D1077">
        <v>39</v>
      </c>
      <c r="E1077">
        <v>39</v>
      </c>
      <c r="F1077">
        <v>0</v>
      </c>
      <c r="G1077" t="s">
        <v>14</v>
      </c>
      <c r="H1077" t="s">
        <v>58</v>
      </c>
      <c r="I1077" t="s">
        <v>88</v>
      </c>
      <c r="J1077" t="s">
        <v>26</v>
      </c>
      <c r="L1077">
        <v>6</v>
      </c>
      <c r="M1077" s="1">
        <v>45419</v>
      </c>
    </row>
    <row r="1078" spans="1:13" x14ac:dyDescent="0.35">
      <c r="A1078" t="s">
        <v>1663</v>
      </c>
      <c r="B1078" t="s">
        <v>1664</v>
      </c>
      <c r="C1078" t="s">
        <v>45</v>
      </c>
      <c r="D1078">
        <v>33</v>
      </c>
      <c r="E1078">
        <v>33</v>
      </c>
      <c r="F1078">
        <v>0</v>
      </c>
      <c r="G1078" t="s">
        <v>14</v>
      </c>
      <c r="H1078" t="s">
        <v>99</v>
      </c>
      <c r="I1078" t="s">
        <v>105</v>
      </c>
      <c r="J1078" t="s">
        <v>37</v>
      </c>
      <c r="K1078">
        <v>81072</v>
      </c>
      <c r="L1078">
        <v>3</v>
      </c>
      <c r="M1078" s="1">
        <v>45430</v>
      </c>
    </row>
    <row r="1079" spans="1:13" x14ac:dyDescent="0.35">
      <c r="A1079" t="s">
        <v>1665</v>
      </c>
      <c r="B1079" t="s">
        <v>1260</v>
      </c>
      <c r="C1079" t="s">
        <v>130</v>
      </c>
      <c r="D1079">
        <v>25</v>
      </c>
      <c r="E1079">
        <v>25</v>
      </c>
      <c r="F1079">
        <v>0</v>
      </c>
      <c r="G1079" t="s">
        <v>14</v>
      </c>
      <c r="H1079" t="s">
        <v>58</v>
      </c>
      <c r="I1079" t="s">
        <v>105</v>
      </c>
      <c r="J1079" t="s">
        <v>37</v>
      </c>
      <c r="K1079">
        <v>44343</v>
      </c>
      <c r="L1079">
        <v>2</v>
      </c>
      <c r="M1079" s="1">
        <v>45312</v>
      </c>
    </row>
    <row r="1080" spans="1:13" x14ac:dyDescent="0.35">
      <c r="A1080" t="s">
        <v>1666</v>
      </c>
      <c r="B1080" t="s">
        <v>708</v>
      </c>
      <c r="C1080" t="s">
        <v>45</v>
      </c>
      <c r="D1080">
        <v>20</v>
      </c>
      <c r="E1080">
        <v>20</v>
      </c>
      <c r="F1080">
        <v>0</v>
      </c>
      <c r="G1080" t="s">
        <v>25</v>
      </c>
      <c r="H1080" t="s">
        <v>58</v>
      </c>
      <c r="I1080" t="s">
        <v>15</v>
      </c>
      <c r="J1080" t="s">
        <v>40</v>
      </c>
      <c r="L1080">
        <v>2</v>
      </c>
      <c r="M1080" s="1">
        <v>45412</v>
      </c>
    </row>
    <row r="1081" spans="1:13" x14ac:dyDescent="0.35">
      <c r="A1081" t="s">
        <v>1667</v>
      </c>
      <c r="B1081" t="s">
        <v>1668</v>
      </c>
      <c r="C1081" t="s">
        <v>45</v>
      </c>
      <c r="D1081">
        <v>35</v>
      </c>
      <c r="F1081">
        <v>1</v>
      </c>
      <c r="G1081" t="s">
        <v>14</v>
      </c>
      <c r="H1081" t="s">
        <v>58</v>
      </c>
      <c r="I1081" t="s">
        <v>15</v>
      </c>
      <c r="J1081" t="s">
        <v>37</v>
      </c>
      <c r="K1081">
        <v>131134</v>
      </c>
      <c r="L1081">
        <v>2</v>
      </c>
      <c r="M1081" s="1">
        <v>45546</v>
      </c>
    </row>
    <row r="1082" spans="1:13" x14ac:dyDescent="0.35">
      <c r="A1082" t="s">
        <v>1669</v>
      </c>
      <c r="B1082" t="s">
        <v>721</v>
      </c>
      <c r="C1082" t="s">
        <v>117</v>
      </c>
      <c r="D1082">
        <v>24</v>
      </c>
      <c r="E1082">
        <v>24</v>
      </c>
      <c r="F1082">
        <v>0</v>
      </c>
      <c r="G1082" t="s">
        <v>14</v>
      </c>
      <c r="H1082" t="s">
        <v>32</v>
      </c>
      <c r="I1082" t="s">
        <v>2153</v>
      </c>
      <c r="J1082" t="s">
        <v>20</v>
      </c>
      <c r="K1082">
        <v>41150</v>
      </c>
      <c r="L1082">
        <v>9</v>
      </c>
      <c r="M1082" s="1">
        <v>45462</v>
      </c>
    </row>
    <row r="1083" spans="1:13" x14ac:dyDescent="0.35">
      <c r="A1083" t="s">
        <v>1670</v>
      </c>
      <c r="B1083" t="s">
        <v>649</v>
      </c>
      <c r="C1083" t="s">
        <v>117</v>
      </c>
      <c r="D1083">
        <v>33</v>
      </c>
      <c r="E1083">
        <v>33</v>
      </c>
      <c r="F1083">
        <v>0</v>
      </c>
      <c r="G1083" t="s">
        <v>25</v>
      </c>
      <c r="H1083" t="s">
        <v>32</v>
      </c>
      <c r="I1083" t="s">
        <v>105</v>
      </c>
      <c r="J1083" t="s">
        <v>16</v>
      </c>
      <c r="L1083">
        <v>2</v>
      </c>
      <c r="M1083" s="1">
        <v>45587</v>
      </c>
    </row>
    <row r="1084" spans="1:13" x14ac:dyDescent="0.35">
      <c r="A1084" t="s">
        <v>1671</v>
      </c>
      <c r="B1084" t="s">
        <v>987</v>
      </c>
      <c r="C1084" t="s">
        <v>119</v>
      </c>
      <c r="D1084">
        <v>29</v>
      </c>
      <c r="E1084">
        <v>29</v>
      </c>
      <c r="F1084">
        <v>0</v>
      </c>
      <c r="G1084" t="s">
        <v>25</v>
      </c>
      <c r="H1084" t="s">
        <v>58</v>
      </c>
      <c r="I1084" t="s">
        <v>15</v>
      </c>
      <c r="J1084" t="s">
        <v>26</v>
      </c>
      <c r="L1084">
        <v>6</v>
      </c>
      <c r="M1084" s="1">
        <v>45437</v>
      </c>
    </row>
    <row r="1085" spans="1:13" x14ac:dyDescent="0.35">
      <c r="A1085" t="s">
        <v>1672</v>
      </c>
      <c r="B1085" t="s">
        <v>618</v>
      </c>
      <c r="C1085" t="s">
        <v>117</v>
      </c>
      <c r="D1085">
        <v>33</v>
      </c>
      <c r="E1085">
        <v>33</v>
      </c>
      <c r="F1085">
        <v>0</v>
      </c>
      <c r="G1085" t="s">
        <v>25</v>
      </c>
      <c r="H1085" t="s">
        <v>99</v>
      </c>
      <c r="I1085" t="s">
        <v>105</v>
      </c>
      <c r="J1085" t="s">
        <v>26</v>
      </c>
      <c r="L1085">
        <v>1</v>
      </c>
      <c r="M1085" s="1">
        <v>45475</v>
      </c>
    </row>
    <row r="1086" spans="1:13" x14ac:dyDescent="0.35">
      <c r="A1086" t="s">
        <v>1673</v>
      </c>
      <c r="B1086" t="s">
        <v>1674</v>
      </c>
      <c r="C1086" t="s">
        <v>172</v>
      </c>
      <c r="D1086">
        <v>28</v>
      </c>
      <c r="E1086">
        <v>28</v>
      </c>
      <c r="F1086">
        <v>0</v>
      </c>
      <c r="G1086" t="s">
        <v>14</v>
      </c>
      <c r="H1086" t="s">
        <v>58</v>
      </c>
      <c r="I1086" t="s">
        <v>105</v>
      </c>
      <c r="J1086" t="s">
        <v>26</v>
      </c>
      <c r="L1086">
        <v>6</v>
      </c>
      <c r="M1086" s="1">
        <v>45397</v>
      </c>
    </row>
    <row r="1087" spans="1:13" x14ac:dyDescent="0.35">
      <c r="A1087" t="s">
        <v>1675</v>
      </c>
      <c r="B1087" t="s">
        <v>1342</v>
      </c>
      <c r="C1087" t="s">
        <v>117</v>
      </c>
      <c r="D1087">
        <v>11</v>
      </c>
      <c r="E1087">
        <v>11</v>
      </c>
      <c r="F1087">
        <v>0</v>
      </c>
      <c r="G1087" t="s">
        <v>14</v>
      </c>
      <c r="H1087" t="s">
        <v>99</v>
      </c>
      <c r="I1087" t="s">
        <v>15</v>
      </c>
      <c r="J1087" t="s">
        <v>26</v>
      </c>
      <c r="L1087">
        <v>7</v>
      </c>
      <c r="M1087" s="1">
        <v>45507</v>
      </c>
    </row>
    <row r="1088" spans="1:13" x14ac:dyDescent="0.35">
      <c r="A1088" t="s">
        <v>1676</v>
      </c>
      <c r="B1088" t="s">
        <v>596</v>
      </c>
      <c r="C1088" t="s">
        <v>45</v>
      </c>
      <c r="D1088">
        <v>52</v>
      </c>
      <c r="E1088">
        <v>52</v>
      </c>
      <c r="F1088">
        <v>0</v>
      </c>
      <c r="G1088" t="s">
        <v>25</v>
      </c>
      <c r="H1088" t="s">
        <v>99</v>
      </c>
      <c r="I1088" t="s">
        <v>105</v>
      </c>
      <c r="J1088" t="s">
        <v>40</v>
      </c>
      <c r="L1088">
        <v>1</v>
      </c>
      <c r="M1088" s="1">
        <v>45492</v>
      </c>
    </row>
    <row r="1089" spans="1:13" x14ac:dyDescent="0.35">
      <c r="A1089" t="s">
        <v>1677</v>
      </c>
      <c r="B1089" t="s">
        <v>573</v>
      </c>
      <c r="C1089" t="s">
        <v>154</v>
      </c>
      <c r="D1089">
        <v>26</v>
      </c>
      <c r="E1089">
        <v>26</v>
      </c>
      <c r="F1089">
        <v>0</v>
      </c>
      <c r="G1089" t="s">
        <v>14</v>
      </c>
      <c r="H1089" t="s">
        <v>19</v>
      </c>
      <c r="I1089" t="s">
        <v>88</v>
      </c>
      <c r="J1089" t="s">
        <v>40</v>
      </c>
      <c r="L1089">
        <v>4</v>
      </c>
      <c r="M1089" s="1">
        <v>45322</v>
      </c>
    </row>
    <row r="1090" spans="1:13" x14ac:dyDescent="0.35">
      <c r="A1090" t="s">
        <v>1678</v>
      </c>
      <c r="B1090" t="s">
        <v>357</v>
      </c>
      <c r="C1090" t="s">
        <v>119</v>
      </c>
      <c r="D1090">
        <v>36</v>
      </c>
      <c r="E1090">
        <v>36</v>
      </c>
      <c r="F1090">
        <v>0</v>
      </c>
      <c r="G1090" t="s">
        <v>25</v>
      </c>
      <c r="H1090" t="s">
        <v>19</v>
      </c>
      <c r="I1090" t="s">
        <v>2153</v>
      </c>
      <c r="J1090" t="s">
        <v>26</v>
      </c>
      <c r="L1090">
        <v>5</v>
      </c>
      <c r="M1090" s="1">
        <v>45504</v>
      </c>
    </row>
    <row r="1091" spans="1:13" x14ac:dyDescent="0.35">
      <c r="A1091" t="s">
        <v>1679</v>
      </c>
      <c r="B1091" t="s">
        <v>1680</v>
      </c>
      <c r="C1091" t="s">
        <v>154</v>
      </c>
      <c r="D1091">
        <v>24</v>
      </c>
      <c r="E1091">
        <v>24</v>
      </c>
      <c r="F1091">
        <v>0</v>
      </c>
      <c r="G1091" t="s">
        <v>25</v>
      </c>
      <c r="H1091" t="s">
        <v>99</v>
      </c>
      <c r="I1091" t="s">
        <v>15</v>
      </c>
      <c r="J1091" t="s">
        <v>26</v>
      </c>
      <c r="L1091">
        <v>5</v>
      </c>
      <c r="M1091" s="1">
        <v>45392</v>
      </c>
    </row>
    <row r="1092" spans="1:13" x14ac:dyDescent="0.35">
      <c r="A1092" t="s">
        <v>1681</v>
      </c>
      <c r="B1092" t="s">
        <v>671</v>
      </c>
      <c r="C1092" t="s">
        <v>29</v>
      </c>
      <c r="D1092">
        <v>23</v>
      </c>
      <c r="E1092">
        <v>23</v>
      </c>
      <c r="F1092">
        <v>0</v>
      </c>
      <c r="G1092" t="s">
        <v>25</v>
      </c>
      <c r="H1092" t="s">
        <v>99</v>
      </c>
      <c r="I1092" t="s">
        <v>15</v>
      </c>
      <c r="J1092" t="s">
        <v>40</v>
      </c>
      <c r="L1092">
        <v>8</v>
      </c>
      <c r="M1092" s="1">
        <v>45578</v>
      </c>
    </row>
    <row r="1093" spans="1:13" x14ac:dyDescent="0.35">
      <c r="A1093" t="s">
        <v>1682</v>
      </c>
      <c r="B1093" t="s">
        <v>1683</v>
      </c>
      <c r="C1093" t="s">
        <v>119</v>
      </c>
      <c r="D1093">
        <v>21</v>
      </c>
      <c r="E1093">
        <v>21</v>
      </c>
      <c r="F1093">
        <v>0</v>
      </c>
      <c r="G1093" t="s">
        <v>14</v>
      </c>
      <c r="H1093" t="s">
        <v>19</v>
      </c>
      <c r="I1093" t="s">
        <v>88</v>
      </c>
      <c r="J1093" t="s">
        <v>16</v>
      </c>
      <c r="L1093">
        <v>7</v>
      </c>
      <c r="M1093" s="1">
        <v>45434</v>
      </c>
    </row>
    <row r="1094" spans="1:13" x14ac:dyDescent="0.35">
      <c r="A1094" t="s">
        <v>1684</v>
      </c>
      <c r="B1094" t="s">
        <v>249</v>
      </c>
      <c r="C1094" t="s">
        <v>117</v>
      </c>
      <c r="D1094">
        <v>36</v>
      </c>
      <c r="E1094">
        <v>36</v>
      </c>
      <c r="F1094">
        <v>0</v>
      </c>
      <c r="G1094" t="s">
        <v>14</v>
      </c>
      <c r="H1094" t="s">
        <v>58</v>
      </c>
      <c r="I1094" t="s">
        <v>2153</v>
      </c>
      <c r="J1094" t="s">
        <v>40</v>
      </c>
      <c r="L1094">
        <v>1</v>
      </c>
      <c r="M1094" s="1">
        <v>45530</v>
      </c>
    </row>
    <row r="1095" spans="1:13" x14ac:dyDescent="0.35">
      <c r="A1095" t="s">
        <v>1685</v>
      </c>
      <c r="B1095" t="s">
        <v>1686</v>
      </c>
      <c r="C1095" t="s">
        <v>154</v>
      </c>
      <c r="D1095">
        <v>33</v>
      </c>
      <c r="E1095">
        <v>33</v>
      </c>
      <c r="F1095">
        <v>0</v>
      </c>
      <c r="G1095" t="s">
        <v>14</v>
      </c>
      <c r="H1095" t="s">
        <v>99</v>
      </c>
      <c r="I1095" t="s">
        <v>105</v>
      </c>
      <c r="J1095" t="s">
        <v>26</v>
      </c>
      <c r="L1095">
        <v>2</v>
      </c>
      <c r="M1095" s="1">
        <v>45529</v>
      </c>
    </row>
    <row r="1096" spans="1:13" x14ac:dyDescent="0.35">
      <c r="A1096" t="s">
        <v>1687</v>
      </c>
      <c r="B1096" t="s">
        <v>465</v>
      </c>
      <c r="C1096" t="s">
        <v>13</v>
      </c>
      <c r="D1096">
        <v>24</v>
      </c>
      <c r="E1096">
        <v>24</v>
      </c>
      <c r="F1096">
        <v>0</v>
      </c>
      <c r="G1096" t="s">
        <v>25</v>
      </c>
      <c r="H1096" t="s">
        <v>32</v>
      </c>
      <c r="I1096" t="s">
        <v>105</v>
      </c>
      <c r="J1096" t="s">
        <v>16</v>
      </c>
      <c r="L1096">
        <v>1</v>
      </c>
      <c r="M1096" s="1">
        <v>45441</v>
      </c>
    </row>
    <row r="1097" spans="1:13" x14ac:dyDescent="0.35">
      <c r="A1097" t="s">
        <v>1688</v>
      </c>
      <c r="B1097" t="s">
        <v>225</v>
      </c>
      <c r="C1097" t="s">
        <v>29</v>
      </c>
      <c r="D1097">
        <v>17</v>
      </c>
      <c r="E1097">
        <v>17</v>
      </c>
      <c r="F1097">
        <v>0</v>
      </c>
      <c r="G1097" t="s">
        <v>14</v>
      </c>
      <c r="H1097" t="s">
        <v>32</v>
      </c>
      <c r="I1097" t="s">
        <v>105</v>
      </c>
      <c r="J1097" t="s">
        <v>20</v>
      </c>
      <c r="K1097">
        <v>40544</v>
      </c>
      <c r="L1097">
        <v>5</v>
      </c>
      <c r="M1097" s="1">
        <v>45486</v>
      </c>
    </row>
    <row r="1098" spans="1:13" x14ac:dyDescent="0.35">
      <c r="A1098" t="s">
        <v>1689</v>
      </c>
      <c r="B1098" t="s">
        <v>1656</v>
      </c>
      <c r="C1098" t="s">
        <v>13</v>
      </c>
      <c r="D1098">
        <v>31</v>
      </c>
      <c r="E1098">
        <v>31</v>
      </c>
      <c r="F1098">
        <v>0</v>
      </c>
      <c r="G1098" t="s">
        <v>25</v>
      </c>
      <c r="H1098" t="s">
        <v>19</v>
      </c>
      <c r="I1098" t="s">
        <v>15</v>
      </c>
      <c r="J1098" t="s">
        <v>20</v>
      </c>
      <c r="K1098">
        <v>35823</v>
      </c>
      <c r="L1098">
        <v>1</v>
      </c>
      <c r="M1098" s="1">
        <v>45332</v>
      </c>
    </row>
    <row r="1099" spans="1:13" x14ac:dyDescent="0.35">
      <c r="A1099" t="s">
        <v>1690</v>
      </c>
      <c r="B1099" t="s">
        <v>1691</v>
      </c>
      <c r="C1099" t="s">
        <v>29</v>
      </c>
      <c r="D1099">
        <v>45</v>
      </c>
      <c r="E1099">
        <v>45</v>
      </c>
      <c r="F1099">
        <v>0</v>
      </c>
      <c r="G1099" t="s">
        <v>25</v>
      </c>
      <c r="H1099" t="s">
        <v>99</v>
      </c>
      <c r="I1099" t="s">
        <v>15</v>
      </c>
      <c r="J1099" t="s">
        <v>26</v>
      </c>
      <c r="L1099">
        <v>1</v>
      </c>
      <c r="M1099" s="1">
        <v>45341</v>
      </c>
    </row>
    <row r="1100" spans="1:13" x14ac:dyDescent="0.35">
      <c r="A1100" t="s">
        <v>2189</v>
      </c>
      <c r="B1100" t="s">
        <v>894</v>
      </c>
      <c r="C1100" t="s">
        <v>130</v>
      </c>
      <c r="D1100">
        <v>38</v>
      </c>
      <c r="E1100">
        <v>38</v>
      </c>
      <c r="F1100">
        <v>0</v>
      </c>
      <c r="G1100" t="s">
        <v>25</v>
      </c>
      <c r="H1100" t="s">
        <v>32</v>
      </c>
      <c r="I1100" t="s">
        <v>15</v>
      </c>
      <c r="J1100" t="s">
        <v>16</v>
      </c>
      <c r="L1100">
        <v>3</v>
      </c>
      <c r="M1100" s="1">
        <v>45374</v>
      </c>
    </row>
    <row r="1101" spans="1:13" x14ac:dyDescent="0.35">
      <c r="A1101" t="s">
        <v>1692</v>
      </c>
      <c r="B1101" t="s">
        <v>1693</v>
      </c>
      <c r="C1101" t="s">
        <v>13</v>
      </c>
      <c r="D1101">
        <v>52</v>
      </c>
      <c r="E1101">
        <v>52</v>
      </c>
      <c r="F1101">
        <v>0</v>
      </c>
      <c r="G1101" t="s">
        <v>14</v>
      </c>
      <c r="H1101" t="s">
        <v>19</v>
      </c>
      <c r="I1101" t="s">
        <v>2153</v>
      </c>
      <c r="J1101" t="s">
        <v>20</v>
      </c>
      <c r="K1101">
        <v>55592</v>
      </c>
      <c r="L1101">
        <v>9</v>
      </c>
      <c r="M1101" s="1">
        <v>45341</v>
      </c>
    </row>
    <row r="1102" spans="1:13" x14ac:dyDescent="0.35">
      <c r="A1102" t="s">
        <v>1694</v>
      </c>
      <c r="B1102" t="s">
        <v>391</v>
      </c>
      <c r="C1102" t="s">
        <v>130</v>
      </c>
      <c r="D1102">
        <v>28</v>
      </c>
      <c r="E1102">
        <v>28</v>
      </c>
      <c r="F1102">
        <v>0</v>
      </c>
      <c r="G1102" t="s">
        <v>25</v>
      </c>
      <c r="H1102" t="s">
        <v>99</v>
      </c>
      <c r="I1102" t="s">
        <v>2153</v>
      </c>
      <c r="J1102" t="s">
        <v>20</v>
      </c>
      <c r="K1102">
        <v>41970</v>
      </c>
      <c r="L1102">
        <v>6</v>
      </c>
      <c r="M1102" s="1">
        <v>45477</v>
      </c>
    </row>
    <row r="1103" spans="1:13" x14ac:dyDescent="0.35">
      <c r="A1103" t="s">
        <v>1695</v>
      </c>
      <c r="B1103" t="s">
        <v>1696</v>
      </c>
      <c r="C1103" t="s">
        <v>29</v>
      </c>
      <c r="D1103">
        <v>58</v>
      </c>
      <c r="E1103">
        <v>58</v>
      </c>
      <c r="F1103">
        <v>0</v>
      </c>
      <c r="G1103" t="s">
        <v>25</v>
      </c>
      <c r="H1103" t="s">
        <v>58</v>
      </c>
      <c r="I1103" t="s">
        <v>88</v>
      </c>
      <c r="J1103" t="s">
        <v>40</v>
      </c>
      <c r="L1103">
        <v>3</v>
      </c>
      <c r="M1103" s="1">
        <v>45357</v>
      </c>
    </row>
    <row r="1104" spans="1:13" x14ac:dyDescent="0.35">
      <c r="A1104" t="s">
        <v>1697</v>
      </c>
      <c r="B1104" t="s">
        <v>1310</v>
      </c>
      <c r="C1104" t="s">
        <v>29</v>
      </c>
      <c r="D1104">
        <v>27</v>
      </c>
      <c r="E1104">
        <v>27</v>
      </c>
      <c r="F1104">
        <v>0</v>
      </c>
      <c r="G1104" t="s">
        <v>25</v>
      </c>
      <c r="H1104" t="s">
        <v>32</v>
      </c>
      <c r="I1104" t="s">
        <v>15</v>
      </c>
      <c r="J1104" t="s">
        <v>26</v>
      </c>
      <c r="L1104">
        <v>8</v>
      </c>
      <c r="M1104" s="1">
        <v>45303</v>
      </c>
    </row>
    <row r="1105" spans="1:13" x14ac:dyDescent="0.35">
      <c r="A1105" t="s">
        <v>1698</v>
      </c>
      <c r="B1105" t="s">
        <v>560</v>
      </c>
      <c r="C1105" t="s">
        <v>130</v>
      </c>
      <c r="D1105">
        <v>33</v>
      </c>
      <c r="E1105">
        <v>33</v>
      </c>
      <c r="F1105">
        <v>0</v>
      </c>
      <c r="G1105" t="s">
        <v>14</v>
      </c>
      <c r="H1105" t="s">
        <v>58</v>
      </c>
      <c r="I1105" t="s">
        <v>2154</v>
      </c>
      <c r="J1105" t="s">
        <v>40</v>
      </c>
      <c r="L1105">
        <v>3</v>
      </c>
      <c r="M1105" s="1">
        <v>45509</v>
      </c>
    </row>
    <row r="1106" spans="1:13" x14ac:dyDescent="0.35">
      <c r="A1106" t="s">
        <v>1699</v>
      </c>
      <c r="B1106" t="s">
        <v>1186</v>
      </c>
      <c r="C1106" t="s">
        <v>13</v>
      </c>
      <c r="D1106">
        <v>59</v>
      </c>
      <c r="E1106">
        <v>59</v>
      </c>
      <c r="F1106">
        <v>0</v>
      </c>
      <c r="G1106" t="s">
        <v>14</v>
      </c>
      <c r="H1106" t="s">
        <v>19</v>
      </c>
      <c r="I1106" t="s">
        <v>15</v>
      </c>
      <c r="J1106" t="s">
        <v>37</v>
      </c>
      <c r="K1106">
        <v>38569</v>
      </c>
      <c r="L1106">
        <v>2</v>
      </c>
      <c r="M1106" s="1">
        <v>45476</v>
      </c>
    </row>
    <row r="1107" spans="1:13" x14ac:dyDescent="0.35">
      <c r="A1107" t="s">
        <v>1700</v>
      </c>
      <c r="B1107" t="s">
        <v>960</v>
      </c>
      <c r="C1107" t="s">
        <v>172</v>
      </c>
      <c r="D1107">
        <v>12</v>
      </c>
      <c r="E1107">
        <v>12</v>
      </c>
      <c r="F1107">
        <v>0</v>
      </c>
      <c r="G1107" t="s">
        <v>14</v>
      </c>
      <c r="H1107" t="s">
        <v>99</v>
      </c>
      <c r="I1107" t="s">
        <v>15</v>
      </c>
      <c r="J1107" t="s">
        <v>26</v>
      </c>
      <c r="L1107">
        <v>3</v>
      </c>
      <c r="M1107" s="1">
        <v>45508</v>
      </c>
    </row>
    <row r="1108" spans="1:13" x14ac:dyDescent="0.35">
      <c r="A1108" t="s">
        <v>1701</v>
      </c>
      <c r="B1108" t="s">
        <v>929</v>
      </c>
      <c r="C1108" t="s">
        <v>184</v>
      </c>
      <c r="D1108">
        <v>33</v>
      </c>
      <c r="E1108">
        <v>33</v>
      </c>
      <c r="F1108">
        <v>0</v>
      </c>
      <c r="G1108" t="s">
        <v>25</v>
      </c>
      <c r="H1108" t="s">
        <v>32</v>
      </c>
      <c r="I1108" t="s">
        <v>105</v>
      </c>
      <c r="J1108" t="s">
        <v>40</v>
      </c>
      <c r="L1108">
        <v>2</v>
      </c>
      <c r="M1108" s="1">
        <v>45570</v>
      </c>
    </row>
    <row r="1109" spans="1:13" x14ac:dyDescent="0.35">
      <c r="A1109" t="s">
        <v>2190</v>
      </c>
      <c r="B1109" t="s">
        <v>1702</v>
      </c>
      <c r="C1109" t="s">
        <v>29</v>
      </c>
      <c r="D1109">
        <v>46</v>
      </c>
      <c r="E1109">
        <v>46</v>
      </c>
      <c r="F1109">
        <v>0</v>
      </c>
      <c r="G1109" t="s">
        <v>25</v>
      </c>
      <c r="H1109" t="s">
        <v>99</v>
      </c>
      <c r="I1109" t="s">
        <v>88</v>
      </c>
      <c r="J1109" t="s">
        <v>16</v>
      </c>
      <c r="L1109">
        <v>4</v>
      </c>
      <c r="M1109" s="1">
        <v>45634</v>
      </c>
    </row>
    <row r="1110" spans="1:13" x14ac:dyDescent="0.35">
      <c r="A1110" t="s">
        <v>1703</v>
      </c>
      <c r="B1110" t="s">
        <v>136</v>
      </c>
      <c r="C1110" t="s">
        <v>184</v>
      </c>
      <c r="D1110">
        <v>51</v>
      </c>
      <c r="E1110">
        <v>51</v>
      </c>
      <c r="F1110">
        <v>0</v>
      </c>
      <c r="G1110" t="s">
        <v>14</v>
      </c>
      <c r="H1110" t="s">
        <v>58</v>
      </c>
      <c r="I1110" t="s">
        <v>105</v>
      </c>
      <c r="J1110" t="s">
        <v>37</v>
      </c>
      <c r="K1110">
        <v>71914</v>
      </c>
      <c r="L1110">
        <v>9</v>
      </c>
      <c r="M1110" s="1">
        <v>45375</v>
      </c>
    </row>
    <row r="1111" spans="1:13" x14ac:dyDescent="0.35">
      <c r="A1111" t="s">
        <v>1704</v>
      </c>
      <c r="B1111" t="s">
        <v>1606</v>
      </c>
      <c r="C1111" t="s">
        <v>154</v>
      </c>
      <c r="D1111">
        <v>33</v>
      </c>
      <c r="E1111">
        <v>33</v>
      </c>
      <c r="F1111">
        <v>0</v>
      </c>
      <c r="G1111" t="s">
        <v>25</v>
      </c>
      <c r="H1111" t="s">
        <v>32</v>
      </c>
      <c r="I1111" t="s">
        <v>105</v>
      </c>
      <c r="J1111" t="s">
        <v>26</v>
      </c>
      <c r="L1111">
        <v>1</v>
      </c>
      <c r="M1111" s="1">
        <v>45554</v>
      </c>
    </row>
    <row r="1112" spans="1:13" x14ac:dyDescent="0.35">
      <c r="A1112" t="s">
        <v>1705</v>
      </c>
      <c r="B1112" t="s">
        <v>1706</v>
      </c>
      <c r="C1112" t="s">
        <v>154</v>
      </c>
      <c r="D1112">
        <v>26</v>
      </c>
      <c r="E1112">
        <v>26</v>
      </c>
      <c r="F1112">
        <v>0</v>
      </c>
      <c r="G1112" t="s">
        <v>25</v>
      </c>
      <c r="H1112" t="s">
        <v>32</v>
      </c>
      <c r="I1112" t="s">
        <v>15</v>
      </c>
      <c r="J1112" t="s">
        <v>37</v>
      </c>
      <c r="K1112">
        <v>69690</v>
      </c>
      <c r="L1112">
        <v>3</v>
      </c>
      <c r="M1112" s="1">
        <v>45496</v>
      </c>
    </row>
    <row r="1113" spans="1:13" x14ac:dyDescent="0.35">
      <c r="A1113" t="s">
        <v>1707</v>
      </c>
      <c r="B1113" t="s">
        <v>1708</v>
      </c>
      <c r="C1113" t="s">
        <v>117</v>
      </c>
      <c r="D1113">
        <v>64</v>
      </c>
      <c r="E1113">
        <v>64</v>
      </c>
      <c r="F1113">
        <v>0</v>
      </c>
      <c r="G1113" t="s">
        <v>25</v>
      </c>
      <c r="H1113" t="s">
        <v>99</v>
      </c>
      <c r="I1113" t="s">
        <v>105</v>
      </c>
      <c r="J1113" t="s">
        <v>37</v>
      </c>
      <c r="K1113">
        <v>140533</v>
      </c>
      <c r="L1113">
        <v>8</v>
      </c>
      <c r="M1113" s="1">
        <v>45535</v>
      </c>
    </row>
    <row r="1114" spans="1:13" x14ac:dyDescent="0.35">
      <c r="A1114" t="s">
        <v>1709</v>
      </c>
      <c r="B1114" t="s">
        <v>1481</v>
      </c>
      <c r="C1114" t="s">
        <v>184</v>
      </c>
      <c r="D1114">
        <v>10</v>
      </c>
      <c r="E1114">
        <v>10</v>
      </c>
      <c r="F1114">
        <v>0</v>
      </c>
      <c r="G1114" t="s">
        <v>14</v>
      </c>
      <c r="H1114" t="s">
        <v>99</v>
      </c>
      <c r="I1114" t="s">
        <v>15</v>
      </c>
      <c r="J1114" t="s">
        <v>26</v>
      </c>
      <c r="L1114">
        <v>4</v>
      </c>
      <c r="M1114" s="1">
        <v>45377</v>
      </c>
    </row>
    <row r="1115" spans="1:13" x14ac:dyDescent="0.35">
      <c r="A1115" t="s">
        <v>1710</v>
      </c>
      <c r="B1115" t="s">
        <v>783</v>
      </c>
      <c r="C1115" t="s">
        <v>119</v>
      </c>
      <c r="D1115">
        <v>27</v>
      </c>
      <c r="E1115">
        <v>27</v>
      </c>
      <c r="F1115">
        <v>0</v>
      </c>
      <c r="G1115" t="s">
        <v>25</v>
      </c>
      <c r="H1115" t="s">
        <v>99</v>
      </c>
      <c r="I1115" t="s">
        <v>105</v>
      </c>
      <c r="J1115" t="s">
        <v>40</v>
      </c>
      <c r="L1115">
        <v>3</v>
      </c>
      <c r="M1115" s="1">
        <v>45397</v>
      </c>
    </row>
    <row r="1116" spans="1:13" x14ac:dyDescent="0.35">
      <c r="A1116" t="s">
        <v>1711</v>
      </c>
      <c r="B1116" t="s">
        <v>156</v>
      </c>
      <c r="C1116" t="s">
        <v>184</v>
      </c>
      <c r="D1116">
        <v>35</v>
      </c>
      <c r="E1116">
        <v>35</v>
      </c>
      <c r="F1116">
        <v>0</v>
      </c>
      <c r="G1116" t="s">
        <v>25</v>
      </c>
      <c r="H1116" t="s">
        <v>32</v>
      </c>
      <c r="I1116" t="s">
        <v>15</v>
      </c>
      <c r="J1116" t="s">
        <v>16</v>
      </c>
      <c r="L1116">
        <v>2</v>
      </c>
      <c r="M1116" s="1">
        <v>45481</v>
      </c>
    </row>
    <row r="1117" spans="1:13" x14ac:dyDescent="0.35">
      <c r="A1117" t="s">
        <v>2191</v>
      </c>
      <c r="B1117" t="s">
        <v>1457</v>
      </c>
      <c r="C1117" t="s">
        <v>119</v>
      </c>
      <c r="D1117">
        <v>48</v>
      </c>
      <c r="E1117">
        <v>48</v>
      </c>
      <c r="F1117">
        <v>0</v>
      </c>
      <c r="G1117" t="s">
        <v>14</v>
      </c>
      <c r="H1117" t="s">
        <v>99</v>
      </c>
      <c r="I1117" t="s">
        <v>2153</v>
      </c>
      <c r="J1117" t="s">
        <v>26</v>
      </c>
      <c r="L1117">
        <v>7</v>
      </c>
      <c r="M1117" s="1">
        <v>45552</v>
      </c>
    </row>
    <row r="1118" spans="1:13" x14ac:dyDescent="0.35">
      <c r="A1118" t="s">
        <v>1712</v>
      </c>
      <c r="B1118" t="s">
        <v>1095</v>
      </c>
      <c r="C1118" t="s">
        <v>13</v>
      </c>
      <c r="D1118">
        <v>30</v>
      </c>
      <c r="E1118">
        <v>30</v>
      </c>
      <c r="F1118">
        <v>0</v>
      </c>
      <c r="G1118" t="s">
        <v>25</v>
      </c>
      <c r="H1118" t="s">
        <v>19</v>
      </c>
      <c r="I1118" t="s">
        <v>2154</v>
      </c>
      <c r="J1118" t="s">
        <v>26</v>
      </c>
      <c r="L1118">
        <v>6</v>
      </c>
      <c r="M1118" s="1">
        <v>45310</v>
      </c>
    </row>
    <row r="1119" spans="1:13" x14ac:dyDescent="0.35">
      <c r="A1119" t="s">
        <v>1713</v>
      </c>
      <c r="B1119" t="s">
        <v>1714</v>
      </c>
      <c r="C1119" t="s">
        <v>45</v>
      </c>
      <c r="D1119">
        <v>57</v>
      </c>
      <c r="E1119">
        <v>57</v>
      </c>
      <c r="F1119">
        <v>0</v>
      </c>
      <c r="G1119" t="s">
        <v>25</v>
      </c>
      <c r="H1119" t="s">
        <v>32</v>
      </c>
      <c r="I1119" t="s">
        <v>15</v>
      </c>
      <c r="J1119" t="s">
        <v>26</v>
      </c>
      <c r="L1119">
        <v>3</v>
      </c>
      <c r="M1119" s="1">
        <v>45352</v>
      </c>
    </row>
    <row r="1120" spans="1:13" x14ac:dyDescent="0.35">
      <c r="A1120" t="s">
        <v>1715</v>
      </c>
      <c r="B1120" t="s">
        <v>396</v>
      </c>
      <c r="C1120" t="s">
        <v>172</v>
      </c>
      <c r="D1120">
        <v>27</v>
      </c>
      <c r="E1120">
        <v>27</v>
      </c>
      <c r="F1120">
        <v>0</v>
      </c>
      <c r="G1120" t="s">
        <v>25</v>
      </c>
      <c r="H1120" t="s">
        <v>58</v>
      </c>
      <c r="I1120" t="s">
        <v>15</v>
      </c>
      <c r="J1120" t="s">
        <v>20</v>
      </c>
      <c r="K1120">
        <v>71658</v>
      </c>
      <c r="L1120">
        <v>6</v>
      </c>
      <c r="M1120" s="1">
        <v>45352</v>
      </c>
    </row>
    <row r="1121" spans="1:13" x14ac:dyDescent="0.35">
      <c r="A1121" t="s">
        <v>1716</v>
      </c>
      <c r="B1121" t="s">
        <v>361</v>
      </c>
      <c r="C1121" t="s">
        <v>184</v>
      </c>
      <c r="D1121">
        <v>50</v>
      </c>
      <c r="E1121">
        <v>50</v>
      </c>
      <c r="F1121">
        <v>0</v>
      </c>
      <c r="G1121" t="s">
        <v>25</v>
      </c>
      <c r="H1121" t="s">
        <v>99</v>
      </c>
      <c r="I1121" t="s">
        <v>88</v>
      </c>
      <c r="J1121" t="s">
        <v>37</v>
      </c>
      <c r="K1121">
        <v>37481</v>
      </c>
      <c r="L1121">
        <v>5</v>
      </c>
      <c r="M1121" s="1">
        <v>45381</v>
      </c>
    </row>
    <row r="1122" spans="1:13" x14ac:dyDescent="0.35">
      <c r="A1122" t="s">
        <v>1717</v>
      </c>
      <c r="B1122" t="s">
        <v>1718</v>
      </c>
      <c r="C1122" t="s">
        <v>29</v>
      </c>
      <c r="D1122">
        <v>46</v>
      </c>
      <c r="E1122">
        <v>46</v>
      </c>
      <c r="F1122">
        <v>0</v>
      </c>
      <c r="G1122" t="s">
        <v>14</v>
      </c>
      <c r="H1122" t="s">
        <v>58</v>
      </c>
      <c r="I1122" t="s">
        <v>105</v>
      </c>
      <c r="J1122" t="s">
        <v>37</v>
      </c>
      <c r="K1122">
        <v>71523</v>
      </c>
      <c r="L1122">
        <v>6</v>
      </c>
      <c r="M1122" s="1">
        <v>45518</v>
      </c>
    </row>
    <row r="1123" spans="1:13" x14ac:dyDescent="0.35">
      <c r="A1123" t="s">
        <v>1719</v>
      </c>
      <c r="B1123" t="s">
        <v>66</v>
      </c>
      <c r="C1123" t="s">
        <v>184</v>
      </c>
      <c r="D1123">
        <v>56</v>
      </c>
      <c r="E1123">
        <v>56</v>
      </c>
      <c r="F1123">
        <v>0</v>
      </c>
      <c r="G1123" t="s">
        <v>25</v>
      </c>
      <c r="H1123" t="s">
        <v>99</v>
      </c>
      <c r="I1123" t="s">
        <v>2153</v>
      </c>
      <c r="J1123" t="s">
        <v>16</v>
      </c>
      <c r="L1123">
        <v>2</v>
      </c>
      <c r="M1123" s="1">
        <v>45413</v>
      </c>
    </row>
    <row r="1124" spans="1:13" x14ac:dyDescent="0.35">
      <c r="A1124" t="s">
        <v>1720</v>
      </c>
      <c r="B1124" t="s">
        <v>473</v>
      </c>
      <c r="C1124" t="s">
        <v>154</v>
      </c>
      <c r="D1124">
        <v>43</v>
      </c>
      <c r="E1124">
        <v>43</v>
      </c>
      <c r="F1124">
        <v>0</v>
      </c>
      <c r="G1124" t="s">
        <v>14</v>
      </c>
      <c r="H1124" t="s">
        <v>19</v>
      </c>
      <c r="I1124" t="s">
        <v>15</v>
      </c>
      <c r="J1124" t="s">
        <v>26</v>
      </c>
      <c r="L1124">
        <v>7</v>
      </c>
      <c r="M1124" s="1">
        <v>45346</v>
      </c>
    </row>
    <row r="1125" spans="1:13" x14ac:dyDescent="0.35">
      <c r="A1125" t="s">
        <v>1721</v>
      </c>
      <c r="B1125" t="s">
        <v>1722</v>
      </c>
      <c r="C1125" t="s">
        <v>117</v>
      </c>
      <c r="D1125">
        <v>66</v>
      </c>
      <c r="E1125">
        <v>66</v>
      </c>
      <c r="F1125">
        <v>0</v>
      </c>
      <c r="G1125" t="s">
        <v>14</v>
      </c>
      <c r="H1125" t="s">
        <v>19</v>
      </c>
      <c r="I1125" t="s">
        <v>105</v>
      </c>
      <c r="J1125" t="s">
        <v>16</v>
      </c>
      <c r="L1125">
        <v>1</v>
      </c>
      <c r="M1125" s="1">
        <v>45399</v>
      </c>
    </row>
    <row r="1126" spans="1:13" x14ac:dyDescent="0.35">
      <c r="A1126" t="s">
        <v>1723</v>
      </c>
      <c r="B1126" t="s">
        <v>824</v>
      </c>
      <c r="C1126" t="s">
        <v>69</v>
      </c>
      <c r="D1126">
        <v>36</v>
      </c>
      <c r="E1126">
        <v>36</v>
      </c>
      <c r="F1126">
        <v>0</v>
      </c>
      <c r="G1126" t="s">
        <v>25</v>
      </c>
      <c r="H1126" t="s">
        <v>99</v>
      </c>
      <c r="I1126" t="s">
        <v>15</v>
      </c>
      <c r="J1126" t="s">
        <v>16</v>
      </c>
      <c r="L1126">
        <v>3</v>
      </c>
      <c r="M1126" s="1">
        <v>45422</v>
      </c>
    </row>
    <row r="1127" spans="1:13" x14ac:dyDescent="0.35">
      <c r="A1127" t="s">
        <v>1724</v>
      </c>
      <c r="B1127" t="s">
        <v>300</v>
      </c>
      <c r="C1127" t="s">
        <v>117</v>
      </c>
      <c r="D1127">
        <v>45</v>
      </c>
      <c r="E1127">
        <v>45</v>
      </c>
      <c r="F1127">
        <v>0</v>
      </c>
      <c r="G1127" t="s">
        <v>25</v>
      </c>
      <c r="H1127" t="s">
        <v>99</v>
      </c>
      <c r="I1127" t="s">
        <v>2153</v>
      </c>
      <c r="J1127" t="s">
        <v>20</v>
      </c>
      <c r="K1127">
        <v>63276</v>
      </c>
      <c r="L1127">
        <v>7</v>
      </c>
      <c r="M1127" s="1">
        <v>45464</v>
      </c>
    </row>
    <row r="1128" spans="1:13" x14ac:dyDescent="0.35">
      <c r="A1128" t="s">
        <v>1725</v>
      </c>
      <c r="B1128" t="s">
        <v>1664</v>
      </c>
      <c r="C1128" t="s">
        <v>117</v>
      </c>
      <c r="D1128">
        <v>25</v>
      </c>
      <c r="E1128">
        <v>25</v>
      </c>
      <c r="F1128">
        <v>0</v>
      </c>
      <c r="G1128" t="s">
        <v>14</v>
      </c>
      <c r="H1128" t="s">
        <v>19</v>
      </c>
      <c r="I1128" t="s">
        <v>15</v>
      </c>
      <c r="J1128" t="s">
        <v>37</v>
      </c>
      <c r="K1128">
        <v>49175</v>
      </c>
      <c r="L1128">
        <v>2</v>
      </c>
      <c r="M1128" s="1">
        <v>45403</v>
      </c>
    </row>
    <row r="1129" spans="1:13" x14ac:dyDescent="0.35">
      <c r="A1129" t="s">
        <v>1726</v>
      </c>
      <c r="B1129" t="s">
        <v>876</v>
      </c>
      <c r="C1129" t="s">
        <v>117</v>
      </c>
      <c r="D1129">
        <v>35</v>
      </c>
      <c r="F1129">
        <v>1</v>
      </c>
      <c r="G1129" t="s">
        <v>14</v>
      </c>
      <c r="H1129" t="s">
        <v>19</v>
      </c>
      <c r="I1129" t="s">
        <v>88</v>
      </c>
      <c r="J1129" t="s">
        <v>16</v>
      </c>
      <c r="L1129">
        <v>6</v>
      </c>
      <c r="M1129" s="1">
        <v>45493</v>
      </c>
    </row>
    <row r="1130" spans="1:13" x14ac:dyDescent="0.35">
      <c r="A1130" t="s">
        <v>1727</v>
      </c>
      <c r="B1130" t="s">
        <v>107</v>
      </c>
      <c r="C1130" t="s">
        <v>154</v>
      </c>
      <c r="D1130">
        <v>56</v>
      </c>
      <c r="E1130">
        <v>56</v>
      </c>
      <c r="F1130">
        <v>0</v>
      </c>
      <c r="G1130" t="s">
        <v>14</v>
      </c>
      <c r="H1130" t="s">
        <v>99</v>
      </c>
      <c r="I1130" t="s">
        <v>88</v>
      </c>
      <c r="J1130" t="s">
        <v>37</v>
      </c>
      <c r="K1130">
        <v>44586</v>
      </c>
      <c r="L1130">
        <v>4</v>
      </c>
      <c r="M1130" s="1">
        <v>45412</v>
      </c>
    </row>
    <row r="1131" spans="1:13" x14ac:dyDescent="0.35">
      <c r="A1131" t="s">
        <v>2192</v>
      </c>
      <c r="B1131" t="s">
        <v>847</v>
      </c>
      <c r="C1131" t="s">
        <v>29</v>
      </c>
      <c r="D1131">
        <v>41</v>
      </c>
      <c r="E1131">
        <v>41</v>
      </c>
      <c r="F1131">
        <v>0</v>
      </c>
      <c r="G1131" t="s">
        <v>25</v>
      </c>
      <c r="H1131" t="s">
        <v>99</v>
      </c>
      <c r="I1131" t="s">
        <v>105</v>
      </c>
      <c r="J1131" t="s">
        <v>37</v>
      </c>
      <c r="K1131">
        <v>92607</v>
      </c>
      <c r="L1131">
        <v>1</v>
      </c>
      <c r="M1131" s="1">
        <v>45540</v>
      </c>
    </row>
    <row r="1132" spans="1:13" x14ac:dyDescent="0.35">
      <c r="A1132" t="s">
        <v>1728</v>
      </c>
      <c r="B1132" t="s">
        <v>1729</v>
      </c>
      <c r="C1132" t="s">
        <v>130</v>
      </c>
      <c r="D1132">
        <v>38</v>
      </c>
      <c r="E1132">
        <v>38</v>
      </c>
      <c r="F1132">
        <v>0</v>
      </c>
      <c r="G1132" t="s">
        <v>25</v>
      </c>
      <c r="H1132" t="s">
        <v>99</v>
      </c>
      <c r="I1132" t="s">
        <v>88</v>
      </c>
      <c r="J1132" t="s">
        <v>16</v>
      </c>
      <c r="L1132">
        <v>5</v>
      </c>
      <c r="M1132" s="1">
        <v>45299</v>
      </c>
    </row>
    <row r="1133" spans="1:13" x14ac:dyDescent="0.35">
      <c r="A1133" t="s">
        <v>1730</v>
      </c>
      <c r="B1133" t="s">
        <v>781</v>
      </c>
      <c r="C1133" t="s">
        <v>117</v>
      </c>
      <c r="D1133">
        <v>33</v>
      </c>
      <c r="E1133">
        <v>33</v>
      </c>
      <c r="F1133">
        <v>0</v>
      </c>
      <c r="G1133" t="s">
        <v>14</v>
      </c>
      <c r="H1133" t="s">
        <v>58</v>
      </c>
      <c r="I1133" t="s">
        <v>2153</v>
      </c>
      <c r="J1133" t="s">
        <v>26</v>
      </c>
      <c r="L1133">
        <v>5</v>
      </c>
      <c r="M1133" s="1">
        <v>45564</v>
      </c>
    </row>
    <row r="1134" spans="1:13" x14ac:dyDescent="0.35">
      <c r="A1134" t="s">
        <v>2193</v>
      </c>
      <c r="B1134" t="s">
        <v>2194</v>
      </c>
      <c r="C1134" t="s">
        <v>29</v>
      </c>
      <c r="D1134">
        <v>35</v>
      </c>
      <c r="E1134">
        <v>35</v>
      </c>
      <c r="F1134">
        <v>0</v>
      </c>
      <c r="G1134" t="s">
        <v>25</v>
      </c>
      <c r="H1134" t="s">
        <v>19</v>
      </c>
      <c r="I1134" t="s">
        <v>105</v>
      </c>
      <c r="J1134" t="s">
        <v>40</v>
      </c>
      <c r="L1134">
        <v>2</v>
      </c>
      <c r="M1134" s="1">
        <v>45298</v>
      </c>
    </row>
    <row r="1135" spans="1:13" x14ac:dyDescent="0.35">
      <c r="A1135" t="s">
        <v>1731</v>
      </c>
      <c r="B1135" t="s">
        <v>210</v>
      </c>
      <c r="C1135" t="s">
        <v>29</v>
      </c>
      <c r="D1135">
        <v>22</v>
      </c>
      <c r="E1135">
        <v>22</v>
      </c>
      <c r="F1135">
        <v>0</v>
      </c>
      <c r="G1135" t="s">
        <v>14</v>
      </c>
      <c r="H1135" t="s">
        <v>99</v>
      </c>
      <c r="I1135" t="s">
        <v>105</v>
      </c>
      <c r="J1135" t="s">
        <v>37</v>
      </c>
      <c r="K1135">
        <v>30900</v>
      </c>
      <c r="L1135">
        <v>4</v>
      </c>
      <c r="M1135" s="1">
        <v>45590</v>
      </c>
    </row>
    <row r="1136" spans="1:13" x14ac:dyDescent="0.35">
      <c r="A1136" t="s">
        <v>1732</v>
      </c>
      <c r="B1136" t="s">
        <v>734</v>
      </c>
      <c r="C1136" t="s">
        <v>69</v>
      </c>
      <c r="D1136">
        <v>30</v>
      </c>
      <c r="E1136">
        <v>30</v>
      </c>
      <c r="F1136">
        <v>0</v>
      </c>
      <c r="G1136" t="s">
        <v>14</v>
      </c>
      <c r="H1136" t="s">
        <v>99</v>
      </c>
      <c r="I1136" t="s">
        <v>88</v>
      </c>
      <c r="J1136" t="s">
        <v>20</v>
      </c>
      <c r="K1136">
        <v>51047</v>
      </c>
      <c r="L1136">
        <v>7</v>
      </c>
      <c r="M1136" s="1">
        <v>45317</v>
      </c>
    </row>
    <row r="1137" spans="1:13" x14ac:dyDescent="0.35">
      <c r="A1137" t="s">
        <v>1733</v>
      </c>
      <c r="B1137" t="s">
        <v>1481</v>
      </c>
      <c r="C1137" t="s">
        <v>119</v>
      </c>
      <c r="D1137">
        <v>22</v>
      </c>
      <c r="E1137">
        <v>22</v>
      </c>
      <c r="F1137">
        <v>0</v>
      </c>
      <c r="G1137" t="s">
        <v>14</v>
      </c>
      <c r="H1137" t="s">
        <v>99</v>
      </c>
      <c r="I1137" t="s">
        <v>88</v>
      </c>
      <c r="J1137" t="s">
        <v>20</v>
      </c>
      <c r="K1137">
        <v>33965</v>
      </c>
      <c r="L1137">
        <v>9</v>
      </c>
      <c r="M1137" s="1">
        <v>45329</v>
      </c>
    </row>
    <row r="1138" spans="1:13" x14ac:dyDescent="0.35">
      <c r="A1138" t="s">
        <v>1734</v>
      </c>
      <c r="B1138" t="s">
        <v>316</v>
      </c>
      <c r="C1138" t="s">
        <v>45</v>
      </c>
      <c r="D1138">
        <v>58</v>
      </c>
      <c r="E1138">
        <v>58</v>
      </c>
      <c r="F1138">
        <v>0</v>
      </c>
      <c r="G1138" t="s">
        <v>14</v>
      </c>
      <c r="H1138" t="s">
        <v>99</v>
      </c>
      <c r="I1138" t="s">
        <v>105</v>
      </c>
      <c r="J1138" t="s">
        <v>20</v>
      </c>
      <c r="K1138">
        <v>59506</v>
      </c>
      <c r="L1138">
        <v>1</v>
      </c>
      <c r="M1138" s="1">
        <v>45586</v>
      </c>
    </row>
    <row r="1139" spans="1:13" x14ac:dyDescent="0.35">
      <c r="A1139" t="s">
        <v>1735</v>
      </c>
      <c r="B1139" t="s">
        <v>719</v>
      </c>
      <c r="C1139" t="s">
        <v>45</v>
      </c>
      <c r="D1139">
        <v>20</v>
      </c>
      <c r="E1139">
        <v>20</v>
      </c>
      <c r="F1139">
        <v>0</v>
      </c>
      <c r="G1139" t="s">
        <v>14</v>
      </c>
      <c r="H1139" t="s">
        <v>19</v>
      </c>
      <c r="I1139" t="s">
        <v>105</v>
      </c>
      <c r="J1139" t="s">
        <v>37</v>
      </c>
      <c r="K1139">
        <v>31529</v>
      </c>
      <c r="L1139">
        <v>1</v>
      </c>
      <c r="M1139" s="1">
        <v>45483</v>
      </c>
    </row>
    <row r="1140" spans="1:13" x14ac:dyDescent="0.35">
      <c r="A1140" t="s">
        <v>1736</v>
      </c>
      <c r="B1140" t="s">
        <v>1173</v>
      </c>
      <c r="C1140" t="s">
        <v>69</v>
      </c>
      <c r="D1140">
        <v>34</v>
      </c>
      <c r="E1140">
        <v>34</v>
      </c>
      <c r="F1140">
        <v>0</v>
      </c>
      <c r="G1140" t="s">
        <v>25</v>
      </c>
      <c r="H1140" t="s">
        <v>19</v>
      </c>
      <c r="I1140" t="s">
        <v>88</v>
      </c>
      <c r="J1140" t="s">
        <v>26</v>
      </c>
      <c r="L1140">
        <v>4</v>
      </c>
      <c r="M1140" s="1">
        <v>45397</v>
      </c>
    </row>
    <row r="1141" spans="1:13" x14ac:dyDescent="0.35">
      <c r="A1141" t="s">
        <v>1737</v>
      </c>
      <c r="B1141" t="s">
        <v>1738</v>
      </c>
      <c r="C1141" t="s">
        <v>184</v>
      </c>
      <c r="D1141">
        <v>22</v>
      </c>
      <c r="E1141">
        <v>22</v>
      </c>
      <c r="F1141">
        <v>0</v>
      </c>
      <c r="G1141" t="s">
        <v>25</v>
      </c>
      <c r="H1141" t="s">
        <v>19</v>
      </c>
      <c r="I1141" t="s">
        <v>88</v>
      </c>
      <c r="J1141" t="s">
        <v>40</v>
      </c>
      <c r="L1141">
        <v>7</v>
      </c>
      <c r="M1141" s="1">
        <v>45566</v>
      </c>
    </row>
    <row r="1142" spans="1:13" x14ac:dyDescent="0.35">
      <c r="A1142" t="s">
        <v>1739</v>
      </c>
      <c r="B1142" t="s">
        <v>1058</v>
      </c>
      <c r="C1142" t="s">
        <v>69</v>
      </c>
      <c r="D1142">
        <v>47</v>
      </c>
      <c r="E1142">
        <v>47</v>
      </c>
      <c r="F1142">
        <v>0</v>
      </c>
      <c r="G1142" t="s">
        <v>14</v>
      </c>
      <c r="H1142" t="s">
        <v>58</v>
      </c>
      <c r="I1142" t="s">
        <v>15</v>
      </c>
      <c r="J1142" t="s">
        <v>16</v>
      </c>
      <c r="L1142">
        <v>9</v>
      </c>
      <c r="M1142" s="1">
        <v>45539</v>
      </c>
    </row>
    <row r="1143" spans="1:13" x14ac:dyDescent="0.35">
      <c r="A1143" t="s">
        <v>1740</v>
      </c>
      <c r="B1143" t="s">
        <v>1270</v>
      </c>
      <c r="C1143" t="s">
        <v>69</v>
      </c>
      <c r="D1143">
        <v>15</v>
      </c>
      <c r="E1143">
        <v>15</v>
      </c>
      <c r="F1143">
        <v>0</v>
      </c>
      <c r="G1143" t="s">
        <v>14</v>
      </c>
      <c r="H1143" t="s">
        <v>19</v>
      </c>
      <c r="I1143" t="s">
        <v>105</v>
      </c>
      <c r="J1143" t="s">
        <v>16</v>
      </c>
      <c r="L1143">
        <v>4</v>
      </c>
      <c r="M1143" s="1">
        <v>45552</v>
      </c>
    </row>
    <row r="1144" spans="1:13" x14ac:dyDescent="0.35">
      <c r="A1144" t="s">
        <v>1741</v>
      </c>
      <c r="B1144" t="s">
        <v>1276</v>
      </c>
      <c r="C1144" t="s">
        <v>119</v>
      </c>
      <c r="D1144">
        <v>30</v>
      </c>
      <c r="E1144">
        <v>30</v>
      </c>
      <c r="F1144">
        <v>0</v>
      </c>
      <c r="G1144" t="s">
        <v>25</v>
      </c>
      <c r="H1144" t="s">
        <v>99</v>
      </c>
      <c r="I1144" t="s">
        <v>15</v>
      </c>
      <c r="J1144" t="s">
        <v>16</v>
      </c>
      <c r="L1144">
        <v>3</v>
      </c>
      <c r="M1144" s="1">
        <v>45307</v>
      </c>
    </row>
    <row r="1145" spans="1:13" x14ac:dyDescent="0.35">
      <c r="A1145" t="s">
        <v>1742</v>
      </c>
      <c r="B1145" t="s">
        <v>851</v>
      </c>
      <c r="C1145" t="s">
        <v>29</v>
      </c>
      <c r="D1145">
        <v>43</v>
      </c>
      <c r="E1145">
        <v>43</v>
      </c>
      <c r="F1145">
        <v>0</v>
      </c>
      <c r="G1145" t="s">
        <v>14</v>
      </c>
      <c r="H1145" t="s">
        <v>32</v>
      </c>
      <c r="I1145" t="s">
        <v>15</v>
      </c>
      <c r="J1145" t="s">
        <v>40</v>
      </c>
      <c r="L1145">
        <v>1</v>
      </c>
      <c r="M1145" s="1">
        <v>45542</v>
      </c>
    </row>
    <row r="1146" spans="1:13" x14ac:dyDescent="0.35">
      <c r="A1146" t="s">
        <v>1743</v>
      </c>
      <c r="B1146" t="s">
        <v>1744</v>
      </c>
      <c r="C1146" t="s">
        <v>45</v>
      </c>
      <c r="D1146">
        <v>34</v>
      </c>
      <c r="E1146">
        <v>34</v>
      </c>
      <c r="F1146">
        <v>0</v>
      </c>
      <c r="G1146" t="s">
        <v>14</v>
      </c>
      <c r="H1146" t="s">
        <v>19</v>
      </c>
      <c r="I1146" t="s">
        <v>15</v>
      </c>
      <c r="J1146" t="s">
        <v>26</v>
      </c>
      <c r="L1146">
        <v>2</v>
      </c>
      <c r="M1146" s="1">
        <v>45499</v>
      </c>
    </row>
    <row r="1147" spans="1:13" x14ac:dyDescent="0.35">
      <c r="A1147" t="s">
        <v>1745</v>
      </c>
      <c r="B1147" t="s">
        <v>1071</v>
      </c>
      <c r="C1147" t="s">
        <v>29</v>
      </c>
      <c r="D1147">
        <v>36</v>
      </c>
      <c r="E1147">
        <v>36</v>
      </c>
      <c r="F1147">
        <v>0</v>
      </c>
      <c r="G1147" t="s">
        <v>25</v>
      </c>
      <c r="H1147" t="s">
        <v>32</v>
      </c>
      <c r="I1147" t="s">
        <v>105</v>
      </c>
      <c r="J1147" t="s">
        <v>20</v>
      </c>
      <c r="K1147">
        <v>57292</v>
      </c>
      <c r="L1147">
        <v>7</v>
      </c>
      <c r="M1147" s="1">
        <v>45585</v>
      </c>
    </row>
    <row r="1148" spans="1:13" x14ac:dyDescent="0.35">
      <c r="A1148" t="s">
        <v>1746</v>
      </c>
      <c r="B1148" t="s">
        <v>1747</v>
      </c>
      <c r="C1148" t="s">
        <v>29</v>
      </c>
      <c r="D1148">
        <v>35</v>
      </c>
      <c r="E1148">
        <v>35</v>
      </c>
      <c r="F1148">
        <v>0</v>
      </c>
      <c r="G1148" t="s">
        <v>14</v>
      </c>
      <c r="H1148" t="s">
        <v>58</v>
      </c>
      <c r="I1148" t="s">
        <v>88</v>
      </c>
      <c r="J1148" t="s">
        <v>26</v>
      </c>
      <c r="L1148">
        <v>9</v>
      </c>
      <c r="M1148" s="1">
        <v>45536</v>
      </c>
    </row>
    <row r="1149" spans="1:13" x14ac:dyDescent="0.35">
      <c r="A1149" t="s">
        <v>1748</v>
      </c>
      <c r="B1149" t="s">
        <v>202</v>
      </c>
      <c r="C1149" t="s">
        <v>29</v>
      </c>
      <c r="D1149">
        <v>50</v>
      </c>
      <c r="E1149">
        <v>50</v>
      </c>
      <c r="F1149">
        <v>0</v>
      </c>
      <c r="G1149" t="s">
        <v>14</v>
      </c>
      <c r="H1149" t="s">
        <v>19</v>
      </c>
      <c r="I1149" t="s">
        <v>15</v>
      </c>
      <c r="J1149" t="s">
        <v>37</v>
      </c>
      <c r="K1149">
        <v>35540</v>
      </c>
      <c r="L1149">
        <v>8</v>
      </c>
      <c r="M1149" s="1">
        <v>45425</v>
      </c>
    </row>
    <row r="1150" spans="1:13" x14ac:dyDescent="0.35">
      <c r="A1150" t="s">
        <v>1749</v>
      </c>
      <c r="B1150" t="s">
        <v>101</v>
      </c>
      <c r="C1150" t="s">
        <v>119</v>
      </c>
      <c r="D1150">
        <v>35</v>
      </c>
      <c r="E1150">
        <v>35</v>
      </c>
      <c r="F1150">
        <v>0</v>
      </c>
      <c r="G1150" t="s">
        <v>25</v>
      </c>
      <c r="H1150" t="s">
        <v>19</v>
      </c>
      <c r="I1150" t="s">
        <v>105</v>
      </c>
      <c r="J1150" t="s">
        <v>26</v>
      </c>
      <c r="L1150">
        <v>8</v>
      </c>
      <c r="M1150" s="1">
        <v>45345</v>
      </c>
    </row>
    <row r="1151" spans="1:13" x14ac:dyDescent="0.35">
      <c r="A1151" t="s">
        <v>1750</v>
      </c>
      <c r="B1151" t="s">
        <v>2195</v>
      </c>
      <c r="C1151" t="s">
        <v>45</v>
      </c>
      <c r="D1151">
        <v>48</v>
      </c>
      <c r="E1151">
        <v>48</v>
      </c>
      <c r="F1151">
        <v>0</v>
      </c>
      <c r="G1151" t="s">
        <v>14</v>
      </c>
      <c r="H1151" t="s">
        <v>58</v>
      </c>
      <c r="I1151" t="s">
        <v>15</v>
      </c>
      <c r="J1151" t="s">
        <v>20</v>
      </c>
      <c r="K1151">
        <v>44880</v>
      </c>
      <c r="L1151">
        <v>2</v>
      </c>
      <c r="M1151" s="1">
        <v>45372</v>
      </c>
    </row>
    <row r="1152" spans="1:13" x14ac:dyDescent="0.35">
      <c r="A1152" t="s">
        <v>1751</v>
      </c>
      <c r="B1152" t="s">
        <v>1752</v>
      </c>
      <c r="C1152" t="s">
        <v>119</v>
      </c>
      <c r="D1152">
        <v>19</v>
      </c>
      <c r="E1152">
        <v>19</v>
      </c>
      <c r="F1152">
        <v>0</v>
      </c>
      <c r="G1152" t="s">
        <v>14</v>
      </c>
      <c r="H1152" t="s">
        <v>58</v>
      </c>
      <c r="I1152" t="s">
        <v>15</v>
      </c>
      <c r="J1152" t="s">
        <v>16</v>
      </c>
      <c r="L1152">
        <v>8</v>
      </c>
      <c r="M1152" s="1">
        <v>45543</v>
      </c>
    </row>
    <row r="1153" spans="1:13" x14ac:dyDescent="0.35">
      <c r="A1153" t="s">
        <v>1753</v>
      </c>
      <c r="B1153" t="s">
        <v>42</v>
      </c>
      <c r="C1153" t="s">
        <v>119</v>
      </c>
      <c r="D1153">
        <v>58</v>
      </c>
      <c r="E1153">
        <v>58</v>
      </c>
      <c r="F1153">
        <v>0</v>
      </c>
      <c r="G1153" t="s">
        <v>25</v>
      </c>
      <c r="H1153" t="s">
        <v>32</v>
      </c>
      <c r="I1153" t="s">
        <v>88</v>
      </c>
      <c r="J1153" t="s">
        <v>26</v>
      </c>
      <c r="L1153">
        <v>3</v>
      </c>
      <c r="M1153" s="1">
        <v>45389</v>
      </c>
    </row>
    <row r="1154" spans="1:13" x14ac:dyDescent="0.35">
      <c r="A1154" t="s">
        <v>1754</v>
      </c>
      <c r="B1154" t="s">
        <v>1755</v>
      </c>
      <c r="C1154" t="s">
        <v>119</v>
      </c>
      <c r="D1154">
        <v>33</v>
      </c>
      <c r="E1154">
        <v>33</v>
      </c>
      <c r="F1154">
        <v>0</v>
      </c>
      <c r="G1154" t="s">
        <v>14</v>
      </c>
      <c r="H1154" t="s">
        <v>99</v>
      </c>
      <c r="I1154" t="s">
        <v>88</v>
      </c>
      <c r="J1154" t="s">
        <v>26</v>
      </c>
      <c r="L1154">
        <v>8</v>
      </c>
      <c r="M1154" s="1">
        <v>45394</v>
      </c>
    </row>
    <row r="1155" spans="1:13" x14ac:dyDescent="0.35">
      <c r="A1155" t="s">
        <v>1756</v>
      </c>
      <c r="B1155" t="s">
        <v>229</v>
      </c>
      <c r="C1155" t="s">
        <v>130</v>
      </c>
      <c r="D1155">
        <v>26</v>
      </c>
      <c r="E1155">
        <v>26</v>
      </c>
      <c r="F1155">
        <v>0</v>
      </c>
      <c r="G1155" t="s">
        <v>25</v>
      </c>
      <c r="H1155" t="s">
        <v>19</v>
      </c>
      <c r="I1155" t="s">
        <v>88</v>
      </c>
      <c r="J1155" t="s">
        <v>37</v>
      </c>
      <c r="K1155">
        <v>30000</v>
      </c>
      <c r="L1155">
        <v>8</v>
      </c>
      <c r="M1155" s="1">
        <v>45413</v>
      </c>
    </row>
    <row r="1156" spans="1:13" x14ac:dyDescent="0.35">
      <c r="A1156" t="s">
        <v>1757</v>
      </c>
      <c r="B1156" t="s">
        <v>393</v>
      </c>
      <c r="C1156" t="s">
        <v>29</v>
      </c>
      <c r="D1156">
        <v>35</v>
      </c>
      <c r="F1156">
        <v>1</v>
      </c>
      <c r="G1156" t="s">
        <v>14</v>
      </c>
      <c r="H1156" t="s">
        <v>58</v>
      </c>
      <c r="I1156" t="s">
        <v>15</v>
      </c>
      <c r="J1156" t="s">
        <v>20</v>
      </c>
      <c r="K1156">
        <v>41717</v>
      </c>
      <c r="L1156">
        <v>8</v>
      </c>
      <c r="M1156" s="1">
        <v>45631</v>
      </c>
    </row>
    <row r="1157" spans="1:13" x14ac:dyDescent="0.35">
      <c r="A1157" t="s">
        <v>1758</v>
      </c>
      <c r="B1157" t="s">
        <v>166</v>
      </c>
      <c r="C1157" t="s">
        <v>13</v>
      </c>
      <c r="D1157">
        <v>70</v>
      </c>
      <c r="E1157">
        <v>70</v>
      </c>
      <c r="F1157">
        <v>0</v>
      </c>
      <c r="G1157" t="s">
        <v>25</v>
      </c>
      <c r="H1157" t="s">
        <v>19</v>
      </c>
      <c r="I1157" t="s">
        <v>88</v>
      </c>
      <c r="J1157" t="s">
        <v>26</v>
      </c>
      <c r="L1157">
        <v>6</v>
      </c>
      <c r="M1157" s="1">
        <v>45450</v>
      </c>
    </row>
    <row r="1158" spans="1:13" x14ac:dyDescent="0.35">
      <c r="A1158" t="s">
        <v>1759</v>
      </c>
      <c r="B1158" t="s">
        <v>1760</v>
      </c>
      <c r="C1158" t="s">
        <v>172</v>
      </c>
      <c r="D1158">
        <v>5</v>
      </c>
      <c r="E1158">
        <v>5</v>
      </c>
      <c r="F1158">
        <v>0</v>
      </c>
      <c r="G1158" t="s">
        <v>14</v>
      </c>
      <c r="H1158" t="s">
        <v>99</v>
      </c>
      <c r="I1158" t="s">
        <v>2153</v>
      </c>
      <c r="J1158" t="s">
        <v>26</v>
      </c>
      <c r="L1158">
        <v>7</v>
      </c>
      <c r="M1158" s="1">
        <v>45545</v>
      </c>
    </row>
    <row r="1159" spans="1:13" x14ac:dyDescent="0.35">
      <c r="A1159" t="s">
        <v>1761</v>
      </c>
      <c r="B1159" t="s">
        <v>501</v>
      </c>
      <c r="C1159" t="s">
        <v>172</v>
      </c>
      <c r="D1159">
        <v>25</v>
      </c>
      <c r="E1159">
        <v>25</v>
      </c>
      <c r="F1159">
        <v>0</v>
      </c>
      <c r="G1159" t="s">
        <v>25</v>
      </c>
      <c r="H1159" t="s">
        <v>99</v>
      </c>
      <c r="I1159" t="s">
        <v>2153</v>
      </c>
      <c r="J1159" t="s">
        <v>16</v>
      </c>
      <c r="L1159">
        <v>1</v>
      </c>
      <c r="M1159" s="1">
        <v>45535</v>
      </c>
    </row>
    <row r="1160" spans="1:13" x14ac:dyDescent="0.35">
      <c r="A1160" t="s">
        <v>1762</v>
      </c>
      <c r="B1160" t="s">
        <v>1763</v>
      </c>
      <c r="C1160" t="s">
        <v>29</v>
      </c>
      <c r="D1160">
        <v>44</v>
      </c>
      <c r="E1160">
        <v>44</v>
      </c>
      <c r="F1160">
        <v>0</v>
      </c>
      <c r="G1160" t="s">
        <v>25</v>
      </c>
      <c r="H1160" t="s">
        <v>99</v>
      </c>
      <c r="I1160" t="s">
        <v>15</v>
      </c>
      <c r="J1160" t="s">
        <v>37</v>
      </c>
      <c r="K1160">
        <v>30000</v>
      </c>
      <c r="L1160">
        <v>5</v>
      </c>
      <c r="M1160" s="1">
        <v>45574</v>
      </c>
    </row>
    <row r="1161" spans="1:13" x14ac:dyDescent="0.35">
      <c r="A1161" t="s">
        <v>2196</v>
      </c>
      <c r="B1161" t="s">
        <v>774</v>
      </c>
      <c r="C1161" t="s">
        <v>119</v>
      </c>
      <c r="D1161">
        <v>60</v>
      </c>
      <c r="E1161">
        <v>60</v>
      </c>
      <c r="F1161">
        <v>0</v>
      </c>
      <c r="G1161" t="s">
        <v>14</v>
      </c>
      <c r="H1161" t="s">
        <v>32</v>
      </c>
      <c r="I1161" t="s">
        <v>88</v>
      </c>
      <c r="J1161" t="s">
        <v>20</v>
      </c>
      <c r="K1161">
        <v>30000</v>
      </c>
      <c r="L1161">
        <v>3</v>
      </c>
      <c r="M1161" s="1">
        <v>45473</v>
      </c>
    </row>
    <row r="1162" spans="1:13" x14ac:dyDescent="0.35">
      <c r="A1162" t="s">
        <v>1764</v>
      </c>
      <c r="B1162" t="s">
        <v>57</v>
      </c>
      <c r="C1162" t="s">
        <v>45</v>
      </c>
      <c r="D1162">
        <v>33</v>
      </c>
      <c r="E1162">
        <v>33</v>
      </c>
      <c r="F1162">
        <v>0</v>
      </c>
      <c r="G1162" t="s">
        <v>25</v>
      </c>
      <c r="H1162" t="s">
        <v>99</v>
      </c>
      <c r="I1162" t="s">
        <v>15</v>
      </c>
      <c r="J1162" t="s">
        <v>40</v>
      </c>
      <c r="L1162">
        <v>8</v>
      </c>
      <c r="M1162" s="1">
        <v>45332</v>
      </c>
    </row>
    <row r="1163" spans="1:13" x14ac:dyDescent="0.35">
      <c r="A1163" t="s">
        <v>1765</v>
      </c>
      <c r="B1163" t="s">
        <v>872</v>
      </c>
      <c r="C1163" t="s">
        <v>130</v>
      </c>
      <c r="D1163">
        <v>18</v>
      </c>
      <c r="E1163">
        <v>18</v>
      </c>
      <c r="F1163">
        <v>0</v>
      </c>
      <c r="G1163" t="s">
        <v>14</v>
      </c>
      <c r="H1163" t="s">
        <v>58</v>
      </c>
      <c r="I1163" t="s">
        <v>15</v>
      </c>
      <c r="J1163" t="s">
        <v>40</v>
      </c>
      <c r="L1163">
        <v>9</v>
      </c>
      <c r="M1163" s="1">
        <v>45606</v>
      </c>
    </row>
    <row r="1164" spans="1:13" x14ac:dyDescent="0.35">
      <c r="A1164" t="s">
        <v>1766</v>
      </c>
      <c r="B1164" t="s">
        <v>1767</v>
      </c>
      <c r="C1164" t="s">
        <v>154</v>
      </c>
      <c r="D1164">
        <v>48</v>
      </c>
      <c r="E1164">
        <v>48</v>
      </c>
      <c r="F1164">
        <v>0</v>
      </c>
      <c r="G1164" t="s">
        <v>14</v>
      </c>
      <c r="H1164" t="s">
        <v>19</v>
      </c>
      <c r="I1164" t="s">
        <v>15</v>
      </c>
      <c r="J1164" t="s">
        <v>40</v>
      </c>
      <c r="L1164">
        <v>7</v>
      </c>
      <c r="M1164" s="1">
        <v>45586</v>
      </c>
    </row>
    <row r="1165" spans="1:13" x14ac:dyDescent="0.35">
      <c r="A1165" t="s">
        <v>1768</v>
      </c>
      <c r="B1165" t="s">
        <v>1769</v>
      </c>
      <c r="C1165" t="s">
        <v>184</v>
      </c>
      <c r="D1165">
        <v>51</v>
      </c>
      <c r="E1165">
        <v>51</v>
      </c>
      <c r="F1165">
        <v>0</v>
      </c>
      <c r="G1165" t="s">
        <v>14</v>
      </c>
      <c r="H1165" t="s">
        <v>58</v>
      </c>
      <c r="I1165" t="s">
        <v>15</v>
      </c>
      <c r="J1165" t="s">
        <v>26</v>
      </c>
      <c r="L1165">
        <v>2</v>
      </c>
      <c r="M1165" s="1">
        <v>45560</v>
      </c>
    </row>
    <row r="1166" spans="1:13" x14ac:dyDescent="0.35">
      <c r="A1166" t="s">
        <v>1770</v>
      </c>
      <c r="B1166" t="s">
        <v>44</v>
      </c>
      <c r="C1166" t="s">
        <v>172</v>
      </c>
      <c r="D1166">
        <v>33</v>
      </c>
      <c r="F1166">
        <v>1</v>
      </c>
      <c r="G1166" t="s">
        <v>25</v>
      </c>
      <c r="H1166" t="s">
        <v>32</v>
      </c>
      <c r="I1166" t="s">
        <v>15</v>
      </c>
      <c r="J1166" t="s">
        <v>40</v>
      </c>
      <c r="L1166">
        <v>7</v>
      </c>
      <c r="M1166" s="1">
        <v>45339</v>
      </c>
    </row>
    <row r="1167" spans="1:13" x14ac:dyDescent="0.35">
      <c r="A1167" t="s">
        <v>1771</v>
      </c>
      <c r="B1167" t="s">
        <v>1772</v>
      </c>
      <c r="C1167" t="s">
        <v>154</v>
      </c>
      <c r="D1167">
        <v>1</v>
      </c>
      <c r="E1167">
        <v>1</v>
      </c>
      <c r="F1167">
        <v>0</v>
      </c>
      <c r="G1167" t="s">
        <v>25</v>
      </c>
      <c r="H1167" t="s">
        <v>99</v>
      </c>
      <c r="I1167" t="s">
        <v>105</v>
      </c>
      <c r="J1167" t="s">
        <v>26</v>
      </c>
      <c r="L1167">
        <v>7</v>
      </c>
      <c r="M1167" s="1">
        <v>45405</v>
      </c>
    </row>
    <row r="1168" spans="1:13" x14ac:dyDescent="0.35">
      <c r="A1168" t="s">
        <v>1773</v>
      </c>
      <c r="B1168" t="s">
        <v>423</v>
      </c>
      <c r="C1168" t="s">
        <v>184</v>
      </c>
      <c r="D1168">
        <v>14</v>
      </c>
      <c r="E1168">
        <v>14</v>
      </c>
      <c r="F1168">
        <v>0</v>
      </c>
      <c r="G1168" t="s">
        <v>25</v>
      </c>
      <c r="H1168" t="s">
        <v>99</v>
      </c>
      <c r="I1168" t="s">
        <v>15</v>
      </c>
      <c r="J1168" t="s">
        <v>26</v>
      </c>
      <c r="L1168">
        <v>7</v>
      </c>
      <c r="M1168" s="1">
        <v>45337</v>
      </c>
    </row>
    <row r="1169" spans="1:13" x14ac:dyDescent="0.35">
      <c r="A1169" t="s">
        <v>1774</v>
      </c>
      <c r="B1169" t="s">
        <v>39</v>
      </c>
      <c r="C1169" t="s">
        <v>119</v>
      </c>
      <c r="D1169">
        <v>38</v>
      </c>
      <c r="E1169">
        <v>38</v>
      </c>
      <c r="F1169">
        <v>0</v>
      </c>
      <c r="G1169" t="s">
        <v>14</v>
      </c>
      <c r="H1169" t="s">
        <v>32</v>
      </c>
      <c r="I1169" t="s">
        <v>105</v>
      </c>
      <c r="J1169" t="s">
        <v>20</v>
      </c>
      <c r="K1169">
        <v>107049</v>
      </c>
      <c r="L1169">
        <v>9</v>
      </c>
      <c r="M1169" s="1">
        <v>45601</v>
      </c>
    </row>
    <row r="1170" spans="1:13" x14ac:dyDescent="0.35">
      <c r="A1170" t="s">
        <v>1775</v>
      </c>
      <c r="B1170" t="s">
        <v>1090</v>
      </c>
      <c r="C1170" t="s">
        <v>119</v>
      </c>
      <c r="D1170">
        <v>45</v>
      </c>
      <c r="E1170">
        <v>45</v>
      </c>
      <c r="F1170">
        <v>0</v>
      </c>
      <c r="G1170" t="s">
        <v>25</v>
      </c>
      <c r="H1170" t="s">
        <v>19</v>
      </c>
      <c r="I1170" t="s">
        <v>15</v>
      </c>
      <c r="J1170" t="s">
        <v>20</v>
      </c>
      <c r="K1170">
        <v>72206</v>
      </c>
      <c r="L1170">
        <v>7</v>
      </c>
      <c r="M1170" s="1">
        <v>45553</v>
      </c>
    </row>
    <row r="1171" spans="1:13" x14ac:dyDescent="0.35">
      <c r="A1171" t="s">
        <v>1776</v>
      </c>
      <c r="B1171" t="s">
        <v>64</v>
      </c>
      <c r="C1171" t="s">
        <v>172</v>
      </c>
      <c r="D1171">
        <v>31</v>
      </c>
      <c r="E1171">
        <v>31</v>
      </c>
      <c r="F1171">
        <v>0</v>
      </c>
      <c r="G1171" t="s">
        <v>25</v>
      </c>
      <c r="H1171" t="s">
        <v>32</v>
      </c>
      <c r="I1171" t="s">
        <v>105</v>
      </c>
      <c r="J1171" t="s">
        <v>20</v>
      </c>
      <c r="K1171">
        <v>48224</v>
      </c>
      <c r="L1171">
        <v>9</v>
      </c>
      <c r="M1171" s="1">
        <v>45498</v>
      </c>
    </row>
    <row r="1172" spans="1:13" x14ac:dyDescent="0.35">
      <c r="A1172" t="s">
        <v>1777</v>
      </c>
      <c r="B1172" t="s">
        <v>1778</v>
      </c>
      <c r="C1172" t="s">
        <v>130</v>
      </c>
      <c r="D1172">
        <v>21</v>
      </c>
      <c r="E1172">
        <v>21</v>
      </c>
      <c r="F1172">
        <v>0</v>
      </c>
      <c r="G1172" t="s">
        <v>14</v>
      </c>
      <c r="H1172" t="s">
        <v>58</v>
      </c>
      <c r="I1172" t="s">
        <v>88</v>
      </c>
      <c r="J1172" t="s">
        <v>20</v>
      </c>
      <c r="K1172">
        <v>57657</v>
      </c>
      <c r="L1172">
        <v>9</v>
      </c>
      <c r="M1172" s="1">
        <v>45300</v>
      </c>
    </row>
    <row r="1173" spans="1:13" x14ac:dyDescent="0.35">
      <c r="A1173" t="s">
        <v>1779</v>
      </c>
      <c r="B1173" t="s">
        <v>129</v>
      </c>
      <c r="C1173" t="s">
        <v>154</v>
      </c>
      <c r="D1173">
        <v>33</v>
      </c>
      <c r="E1173">
        <v>33</v>
      </c>
      <c r="F1173">
        <v>0</v>
      </c>
      <c r="G1173" t="s">
        <v>14</v>
      </c>
      <c r="H1173" t="s">
        <v>19</v>
      </c>
      <c r="I1173" t="s">
        <v>15</v>
      </c>
      <c r="J1173" t="s">
        <v>16</v>
      </c>
      <c r="L1173">
        <v>4</v>
      </c>
      <c r="M1173" s="1">
        <v>45527</v>
      </c>
    </row>
    <row r="1174" spans="1:13" x14ac:dyDescent="0.35">
      <c r="A1174" t="s">
        <v>1780</v>
      </c>
      <c r="B1174" t="s">
        <v>772</v>
      </c>
      <c r="C1174" t="s">
        <v>184</v>
      </c>
      <c r="D1174">
        <v>43</v>
      </c>
      <c r="E1174">
        <v>43</v>
      </c>
      <c r="F1174">
        <v>0</v>
      </c>
      <c r="G1174" t="s">
        <v>25</v>
      </c>
      <c r="H1174" t="s">
        <v>58</v>
      </c>
      <c r="I1174" t="s">
        <v>105</v>
      </c>
      <c r="J1174" t="s">
        <v>37</v>
      </c>
      <c r="K1174">
        <v>46188</v>
      </c>
      <c r="L1174">
        <v>5</v>
      </c>
      <c r="M1174" s="1">
        <v>45365</v>
      </c>
    </row>
    <row r="1175" spans="1:13" x14ac:dyDescent="0.35">
      <c r="A1175" t="s">
        <v>1781</v>
      </c>
      <c r="B1175" t="s">
        <v>1173</v>
      </c>
      <c r="C1175" t="s">
        <v>184</v>
      </c>
      <c r="D1175">
        <v>35</v>
      </c>
      <c r="F1175">
        <v>1</v>
      </c>
      <c r="G1175" t="s">
        <v>25</v>
      </c>
      <c r="H1175" t="s">
        <v>99</v>
      </c>
      <c r="I1175" t="s">
        <v>2154</v>
      </c>
      <c r="J1175" t="s">
        <v>26</v>
      </c>
      <c r="L1175">
        <v>7</v>
      </c>
      <c r="M1175" s="1">
        <v>45399</v>
      </c>
    </row>
    <row r="1176" spans="1:13" x14ac:dyDescent="0.35">
      <c r="A1176" t="s">
        <v>1782</v>
      </c>
      <c r="B1176" t="s">
        <v>1132</v>
      </c>
      <c r="C1176" t="s">
        <v>117</v>
      </c>
      <c r="D1176">
        <v>21</v>
      </c>
      <c r="E1176">
        <v>21</v>
      </c>
      <c r="F1176">
        <v>0</v>
      </c>
      <c r="G1176" t="s">
        <v>14</v>
      </c>
      <c r="H1176" t="s">
        <v>19</v>
      </c>
      <c r="I1176" t="s">
        <v>88</v>
      </c>
      <c r="J1176" t="s">
        <v>16</v>
      </c>
      <c r="L1176">
        <v>6</v>
      </c>
      <c r="M1176" s="1">
        <v>45590</v>
      </c>
    </row>
    <row r="1177" spans="1:13" x14ac:dyDescent="0.35">
      <c r="A1177" t="s">
        <v>1783</v>
      </c>
      <c r="B1177" t="s">
        <v>104</v>
      </c>
      <c r="C1177" t="s">
        <v>172</v>
      </c>
      <c r="D1177">
        <v>8</v>
      </c>
      <c r="E1177">
        <v>8</v>
      </c>
      <c r="F1177">
        <v>0</v>
      </c>
      <c r="G1177" t="s">
        <v>25</v>
      </c>
      <c r="H1177" t="s">
        <v>99</v>
      </c>
      <c r="I1177" t="s">
        <v>15</v>
      </c>
      <c r="J1177" t="s">
        <v>26</v>
      </c>
      <c r="L1177">
        <v>8</v>
      </c>
      <c r="M1177" s="1">
        <v>45432</v>
      </c>
    </row>
    <row r="1178" spans="1:13" x14ac:dyDescent="0.35">
      <c r="A1178" t="s">
        <v>1784</v>
      </c>
      <c r="B1178" t="s">
        <v>1785</v>
      </c>
      <c r="C1178" t="s">
        <v>29</v>
      </c>
      <c r="D1178">
        <v>30</v>
      </c>
      <c r="E1178">
        <v>30</v>
      </c>
      <c r="F1178">
        <v>0</v>
      </c>
      <c r="G1178" t="s">
        <v>25</v>
      </c>
      <c r="H1178" t="s">
        <v>19</v>
      </c>
      <c r="I1178" t="s">
        <v>15</v>
      </c>
      <c r="J1178" t="s">
        <v>26</v>
      </c>
      <c r="L1178">
        <v>8</v>
      </c>
      <c r="M1178" s="1">
        <v>45300</v>
      </c>
    </row>
    <row r="1179" spans="1:13" x14ac:dyDescent="0.35">
      <c r="A1179" t="s">
        <v>1786</v>
      </c>
      <c r="B1179" t="s">
        <v>1787</v>
      </c>
      <c r="C1179" t="s">
        <v>69</v>
      </c>
      <c r="D1179">
        <v>50</v>
      </c>
      <c r="E1179">
        <v>50</v>
      </c>
      <c r="F1179">
        <v>0</v>
      </c>
      <c r="G1179" t="s">
        <v>25</v>
      </c>
      <c r="H1179" t="s">
        <v>19</v>
      </c>
      <c r="I1179" t="s">
        <v>2154</v>
      </c>
      <c r="J1179" t="s">
        <v>26</v>
      </c>
      <c r="L1179">
        <v>7</v>
      </c>
      <c r="M1179" s="1">
        <v>45295</v>
      </c>
    </row>
    <row r="1180" spans="1:13" x14ac:dyDescent="0.35">
      <c r="A1180" t="s">
        <v>1788</v>
      </c>
      <c r="B1180" t="s">
        <v>355</v>
      </c>
      <c r="C1180" t="s">
        <v>184</v>
      </c>
      <c r="D1180">
        <v>35</v>
      </c>
      <c r="E1180">
        <v>35</v>
      </c>
      <c r="F1180">
        <v>0</v>
      </c>
      <c r="G1180" t="s">
        <v>14</v>
      </c>
      <c r="H1180" t="s">
        <v>32</v>
      </c>
      <c r="I1180" t="s">
        <v>15</v>
      </c>
      <c r="J1180" t="s">
        <v>20</v>
      </c>
      <c r="K1180">
        <v>32653</v>
      </c>
      <c r="L1180">
        <v>8</v>
      </c>
      <c r="M1180" s="1">
        <v>45560</v>
      </c>
    </row>
    <row r="1181" spans="1:13" x14ac:dyDescent="0.35">
      <c r="A1181" t="s">
        <v>1789</v>
      </c>
      <c r="B1181" t="s">
        <v>361</v>
      </c>
      <c r="C1181" t="s">
        <v>184</v>
      </c>
      <c r="D1181">
        <v>57</v>
      </c>
      <c r="E1181">
        <v>57</v>
      </c>
      <c r="F1181">
        <v>0</v>
      </c>
      <c r="G1181" t="s">
        <v>25</v>
      </c>
      <c r="H1181" t="s">
        <v>19</v>
      </c>
      <c r="I1181" t="s">
        <v>88</v>
      </c>
      <c r="J1181" t="s">
        <v>26</v>
      </c>
      <c r="L1181">
        <v>5</v>
      </c>
      <c r="M1181" s="1">
        <v>45343</v>
      </c>
    </row>
    <row r="1182" spans="1:13" x14ac:dyDescent="0.35">
      <c r="A1182" t="s">
        <v>1790</v>
      </c>
      <c r="B1182" t="s">
        <v>1007</v>
      </c>
      <c r="C1182" t="s">
        <v>45</v>
      </c>
      <c r="D1182">
        <v>11</v>
      </c>
      <c r="E1182">
        <v>11</v>
      </c>
      <c r="F1182">
        <v>0</v>
      </c>
      <c r="G1182" t="s">
        <v>14</v>
      </c>
      <c r="H1182" t="s">
        <v>99</v>
      </c>
      <c r="I1182" t="s">
        <v>105</v>
      </c>
      <c r="J1182" t="s">
        <v>26</v>
      </c>
      <c r="L1182">
        <v>5</v>
      </c>
      <c r="M1182" s="1">
        <v>45345</v>
      </c>
    </row>
    <row r="1183" spans="1:13" x14ac:dyDescent="0.35">
      <c r="A1183" t="s">
        <v>1791</v>
      </c>
      <c r="B1183" t="s">
        <v>471</v>
      </c>
      <c r="C1183" t="s">
        <v>119</v>
      </c>
      <c r="D1183">
        <v>41</v>
      </c>
      <c r="E1183">
        <v>41</v>
      </c>
      <c r="F1183">
        <v>0</v>
      </c>
      <c r="G1183" t="s">
        <v>25</v>
      </c>
      <c r="H1183" t="s">
        <v>32</v>
      </c>
      <c r="I1183" t="s">
        <v>2153</v>
      </c>
      <c r="J1183" t="s">
        <v>20</v>
      </c>
      <c r="K1183">
        <v>30000</v>
      </c>
      <c r="L1183">
        <v>2</v>
      </c>
      <c r="M1183" s="1">
        <v>45298</v>
      </c>
    </row>
    <row r="1184" spans="1:13" x14ac:dyDescent="0.35">
      <c r="A1184" t="s">
        <v>1792</v>
      </c>
      <c r="B1184" t="s">
        <v>517</v>
      </c>
      <c r="C1184" t="s">
        <v>29</v>
      </c>
      <c r="D1184">
        <v>23</v>
      </c>
      <c r="E1184">
        <v>23</v>
      </c>
      <c r="F1184">
        <v>0</v>
      </c>
      <c r="G1184" t="s">
        <v>14</v>
      </c>
      <c r="H1184" t="s">
        <v>19</v>
      </c>
      <c r="I1184" t="s">
        <v>15</v>
      </c>
      <c r="J1184" t="s">
        <v>40</v>
      </c>
      <c r="L1184">
        <v>4</v>
      </c>
      <c r="M1184" s="1">
        <v>45362</v>
      </c>
    </row>
    <row r="1185" spans="1:13" x14ac:dyDescent="0.35">
      <c r="A1185" t="s">
        <v>1793</v>
      </c>
      <c r="B1185" t="s">
        <v>2197</v>
      </c>
      <c r="C1185" t="s">
        <v>119</v>
      </c>
      <c r="D1185">
        <v>43</v>
      </c>
      <c r="E1185">
        <v>43</v>
      </c>
      <c r="F1185">
        <v>0</v>
      </c>
      <c r="G1185" t="s">
        <v>14</v>
      </c>
      <c r="H1185" t="s">
        <v>99</v>
      </c>
      <c r="I1185" t="s">
        <v>15</v>
      </c>
      <c r="J1185" t="s">
        <v>16</v>
      </c>
      <c r="L1185">
        <v>1</v>
      </c>
      <c r="M1185" s="1">
        <v>45301</v>
      </c>
    </row>
    <row r="1186" spans="1:13" x14ac:dyDescent="0.35">
      <c r="A1186" t="s">
        <v>1794</v>
      </c>
      <c r="B1186" t="s">
        <v>1795</v>
      </c>
      <c r="C1186" t="s">
        <v>45</v>
      </c>
      <c r="D1186">
        <v>39</v>
      </c>
      <c r="E1186">
        <v>39</v>
      </c>
      <c r="F1186">
        <v>0</v>
      </c>
      <c r="G1186" t="s">
        <v>25</v>
      </c>
      <c r="H1186" t="s">
        <v>99</v>
      </c>
      <c r="I1186" t="s">
        <v>88</v>
      </c>
      <c r="J1186" t="s">
        <v>20</v>
      </c>
      <c r="K1186">
        <v>151100</v>
      </c>
      <c r="L1186">
        <v>7</v>
      </c>
      <c r="M1186" s="1">
        <v>45538</v>
      </c>
    </row>
    <row r="1187" spans="1:13" x14ac:dyDescent="0.35">
      <c r="A1187" t="s">
        <v>1796</v>
      </c>
      <c r="B1187" t="s">
        <v>1797</v>
      </c>
      <c r="C1187" t="s">
        <v>69</v>
      </c>
      <c r="D1187">
        <v>7</v>
      </c>
      <c r="E1187">
        <v>7</v>
      </c>
      <c r="F1187">
        <v>0</v>
      </c>
      <c r="G1187" t="s">
        <v>25</v>
      </c>
      <c r="H1187" t="s">
        <v>99</v>
      </c>
      <c r="I1187" t="s">
        <v>15</v>
      </c>
      <c r="J1187" t="s">
        <v>26</v>
      </c>
      <c r="L1187">
        <v>1</v>
      </c>
      <c r="M1187" s="1">
        <v>45461</v>
      </c>
    </row>
    <row r="1188" spans="1:13" x14ac:dyDescent="0.35">
      <c r="A1188" t="s">
        <v>1798</v>
      </c>
      <c r="B1188" t="s">
        <v>1440</v>
      </c>
      <c r="C1188" t="s">
        <v>119</v>
      </c>
      <c r="D1188">
        <v>3</v>
      </c>
      <c r="E1188">
        <v>3</v>
      </c>
      <c r="F1188">
        <v>0</v>
      </c>
      <c r="G1188" t="s">
        <v>14</v>
      </c>
      <c r="H1188" t="s">
        <v>99</v>
      </c>
      <c r="I1188" t="s">
        <v>105</v>
      </c>
      <c r="J1188" t="s">
        <v>26</v>
      </c>
      <c r="L1188">
        <v>4</v>
      </c>
      <c r="M1188" s="1">
        <v>45533</v>
      </c>
    </row>
    <row r="1189" spans="1:13" x14ac:dyDescent="0.35">
      <c r="A1189" t="s">
        <v>1799</v>
      </c>
      <c r="B1189" t="s">
        <v>1800</v>
      </c>
      <c r="C1189" t="s">
        <v>117</v>
      </c>
      <c r="D1189">
        <v>48</v>
      </c>
      <c r="E1189">
        <v>48</v>
      </c>
      <c r="F1189">
        <v>0</v>
      </c>
      <c r="G1189" t="s">
        <v>14</v>
      </c>
      <c r="H1189" t="s">
        <v>99</v>
      </c>
      <c r="I1189" t="s">
        <v>15</v>
      </c>
      <c r="J1189" t="s">
        <v>26</v>
      </c>
      <c r="L1189">
        <v>3</v>
      </c>
      <c r="M1189" s="1">
        <v>45544</v>
      </c>
    </row>
    <row r="1190" spans="1:13" x14ac:dyDescent="0.35">
      <c r="A1190" t="s">
        <v>1801</v>
      </c>
      <c r="B1190" t="s">
        <v>1802</v>
      </c>
      <c r="C1190" t="s">
        <v>69</v>
      </c>
      <c r="D1190">
        <v>25</v>
      </c>
      <c r="E1190">
        <v>25</v>
      </c>
      <c r="F1190">
        <v>0</v>
      </c>
      <c r="G1190" t="s">
        <v>25</v>
      </c>
      <c r="H1190" t="s">
        <v>58</v>
      </c>
      <c r="I1190" t="s">
        <v>15</v>
      </c>
      <c r="J1190" t="s">
        <v>40</v>
      </c>
      <c r="L1190">
        <v>3</v>
      </c>
      <c r="M1190" s="1">
        <v>45361</v>
      </c>
    </row>
    <row r="1191" spans="1:13" x14ac:dyDescent="0.35">
      <c r="A1191" t="s">
        <v>1803</v>
      </c>
      <c r="B1191" t="s">
        <v>1683</v>
      </c>
      <c r="C1191" t="s">
        <v>117</v>
      </c>
      <c r="D1191">
        <v>21</v>
      </c>
      <c r="E1191">
        <v>21</v>
      </c>
      <c r="F1191">
        <v>0</v>
      </c>
      <c r="G1191" t="s">
        <v>14</v>
      </c>
      <c r="H1191" t="s">
        <v>58</v>
      </c>
      <c r="I1191" t="s">
        <v>105</v>
      </c>
      <c r="J1191" t="s">
        <v>37</v>
      </c>
      <c r="K1191">
        <v>35027</v>
      </c>
      <c r="L1191">
        <v>4</v>
      </c>
      <c r="M1191" s="1">
        <v>45551</v>
      </c>
    </row>
    <row r="1192" spans="1:13" x14ac:dyDescent="0.35">
      <c r="A1192" t="s">
        <v>1804</v>
      </c>
      <c r="B1192" t="s">
        <v>1079</v>
      </c>
      <c r="C1192" t="s">
        <v>117</v>
      </c>
      <c r="D1192">
        <v>20</v>
      </c>
      <c r="E1192">
        <v>20</v>
      </c>
      <c r="F1192">
        <v>0</v>
      </c>
      <c r="G1192" t="s">
        <v>14</v>
      </c>
      <c r="H1192" t="s">
        <v>32</v>
      </c>
      <c r="I1192" t="s">
        <v>105</v>
      </c>
      <c r="J1192" t="s">
        <v>37</v>
      </c>
      <c r="K1192">
        <v>82599</v>
      </c>
      <c r="L1192">
        <v>4</v>
      </c>
      <c r="M1192" s="1">
        <v>45378</v>
      </c>
    </row>
    <row r="1193" spans="1:13" x14ac:dyDescent="0.35">
      <c r="A1193" t="s">
        <v>1805</v>
      </c>
      <c r="B1193" t="s">
        <v>658</v>
      </c>
      <c r="C1193" t="s">
        <v>45</v>
      </c>
      <c r="D1193">
        <v>3</v>
      </c>
      <c r="E1193">
        <v>3</v>
      </c>
      <c r="F1193">
        <v>0</v>
      </c>
      <c r="G1193" t="s">
        <v>14</v>
      </c>
      <c r="H1193" t="s">
        <v>99</v>
      </c>
      <c r="I1193" t="s">
        <v>105</v>
      </c>
      <c r="J1193" t="s">
        <v>26</v>
      </c>
      <c r="L1193">
        <v>2</v>
      </c>
      <c r="M1193" s="1">
        <v>45332</v>
      </c>
    </row>
    <row r="1194" spans="1:13" x14ac:dyDescent="0.35">
      <c r="A1194" t="s">
        <v>1806</v>
      </c>
      <c r="B1194" t="s">
        <v>1807</v>
      </c>
      <c r="C1194" t="s">
        <v>119</v>
      </c>
      <c r="D1194">
        <v>54</v>
      </c>
      <c r="E1194">
        <v>54</v>
      </c>
      <c r="F1194">
        <v>0</v>
      </c>
      <c r="G1194" t="s">
        <v>25</v>
      </c>
      <c r="H1194" t="s">
        <v>99</v>
      </c>
      <c r="I1194" t="s">
        <v>2154</v>
      </c>
      <c r="J1194" t="s">
        <v>40</v>
      </c>
      <c r="L1194">
        <v>4</v>
      </c>
      <c r="M1194" s="1">
        <v>45565</v>
      </c>
    </row>
    <row r="1195" spans="1:13" x14ac:dyDescent="0.35">
      <c r="A1195" t="s">
        <v>1808</v>
      </c>
      <c r="B1195" t="s">
        <v>1809</v>
      </c>
      <c r="C1195" t="s">
        <v>29</v>
      </c>
      <c r="D1195">
        <v>17</v>
      </c>
      <c r="E1195">
        <v>17</v>
      </c>
      <c r="F1195">
        <v>0</v>
      </c>
      <c r="G1195" t="s">
        <v>14</v>
      </c>
      <c r="H1195" t="s">
        <v>32</v>
      </c>
      <c r="I1195" t="s">
        <v>15</v>
      </c>
      <c r="J1195" t="s">
        <v>26</v>
      </c>
      <c r="L1195">
        <v>9</v>
      </c>
      <c r="M1195" s="1">
        <v>45517</v>
      </c>
    </row>
    <row r="1196" spans="1:13" x14ac:dyDescent="0.35">
      <c r="A1196" t="s">
        <v>1810</v>
      </c>
      <c r="B1196" t="s">
        <v>727</v>
      </c>
      <c r="C1196" t="s">
        <v>29</v>
      </c>
      <c r="D1196">
        <v>34</v>
      </c>
      <c r="E1196">
        <v>34</v>
      </c>
      <c r="F1196">
        <v>0</v>
      </c>
      <c r="G1196" t="s">
        <v>25</v>
      </c>
      <c r="H1196" t="s">
        <v>99</v>
      </c>
      <c r="I1196" t="s">
        <v>15</v>
      </c>
      <c r="J1196" t="s">
        <v>16</v>
      </c>
      <c r="L1196">
        <v>7</v>
      </c>
      <c r="M1196" s="1">
        <v>45358</v>
      </c>
    </row>
    <row r="1197" spans="1:13" x14ac:dyDescent="0.35">
      <c r="A1197" t="s">
        <v>1811</v>
      </c>
      <c r="B1197" t="s">
        <v>1706</v>
      </c>
      <c r="C1197" t="s">
        <v>184</v>
      </c>
      <c r="D1197">
        <v>37</v>
      </c>
      <c r="E1197">
        <v>37</v>
      </c>
      <c r="F1197">
        <v>0</v>
      </c>
      <c r="G1197" t="s">
        <v>25</v>
      </c>
      <c r="H1197" t="s">
        <v>19</v>
      </c>
      <c r="I1197" t="s">
        <v>15</v>
      </c>
      <c r="J1197" t="s">
        <v>16</v>
      </c>
      <c r="L1197">
        <v>6</v>
      </c>
      <c r="M1197" s="1">
        <v>45338</v>
      </c>
    </row>
    <row r="1198" spans="1:13" x14ac:dyDescent="0.35">
      <c r="A1198" t="s">
        <v>1812</v>
      </c>
      <c r="B1198" t="s">
        <v>545</v>
      </c>
      <c r="C1198" t="s">
        <v>13</v>
      </c>
      <c r="D1198">
        <v>32</v>
      </c>
      <c r="E1198">
        <v>32</v>
      </c>
      <c r="F1198">
        <v>0</v>
      </c>
      <c r="G1198" t="s">
        <v>14</v>
      </c>
      <c r="H1198" t="s">
        <v>99</v>
      </c>
      <c r="I1198" t="s">
        <v>88</v>
      </c>
      <c r="J1198" t="s">
        <v>26</v>
      </c>
      <c r="L1198">
        <v>2</v>
      </c>
      <c r="M1198" s="1">
        <v>45487</v>
      </c>
    </row>
    <row r="1199" spans="1:13" x14ac:dyDescent="0.35">
      <c r="A1199" t="s">
        <v>1813</v>
      </c>
      <c r="B1199" t="s">
        <v>1199</v>
      </c>
      <c r="C1199" t="s">
        <v>154</v>
      </c>
      <c r="D1199">
        <v>37</v>
      </c>
      <c r="E1199">
        <v>37</v>
      </c>
      <c r="F1199">
        <v>0</v>
      </c>
      <c r="G1199" t="s">
        <v>14</v>
      </c>
      <c r="H1199" t="s">
        <v>99</v>
      </c>
      <c r="I1199" t="s">
        <v>105</v>
      </c>
      <c r="J1199" t="s">
        <v>37</v>
      </c>
      <c r="K1199">
        <v>92078</v>
      </c>
      <c r="L1199">
        <v>7</v>
      </c>
      <c r="M1199" s="1">
        <v>45510</v>
      </c>
    </row>
    <row r="1200" spans="1:13" x14ac:dyDescent="0.35">
      <c r="A1200" t="s">
        <v>1814</v>
      </c>
      <c r="B1200" t="s">
        <v>1115</v>
      </c>
      <c r="C1200" t="s">
        <v>130</v>
      </c>
      <c r="D1200">
        <v>16</v>
      </c>
      <c r="E1200">
        <v>16</v>
      </c>
      <c r="F1200">
        <v>0</v>
      </c>
      <c r="G1200" t="s">
        <v>14</v>
      </c>
      <c r="H1200" t="s">
        <v>32</v>
      </c>
      <c r="I1200" t="s">
        <v>15</v>
      </c>
      <c r="J1200" t="s">
        <v>20</v>
      </c>
      <c r="K1200">
        <v>30000</v>
      </c>
      <c r="L1200">
        <v>5</v>
      </c>
      <c r="M1200" s="1">
        <v>45354</v>
      </c>
    </row>
    <row r="1201" spans="1:13" x14ac:dyDescent="0.35">
      <c r="A1201" t="s">
        <v>1815</v>
      </c>
      <c r="B1201" t="s">
        <v>1816</v>
      </c>
      <c r="C1201" t="s">
        <v>13</v>
      </c>
      <c r="D1201">
        <v>9</v>
      </c>
      <c r="E1201">
        <v>9</v>
      </c>
      <c r="F1201">
        <v>0</v>
      </c>
      <c r="G1201" t="s">
        <v>14</v>
      </c>
      <c r="H1201" t="s">
        <v>99</v>
      </c>
      <c r="I1201" t="s">
        <v>15</v>
      </c>
      <c r="J1201" t="s">
        <v>26</v>
      </c>
      <c r="L1201">
        <v>7</v>
      </c>
      <c r="M1201" s="1">
        <v>45627</v>
      </c>
    </row>
    <row r="1202" spans="1:13" x14ac:dyDescent="0.35">
      <c r="A1202" t="s">
        <v>1817</v>
      </c>
      <c r="B1202" t="s">
        <v>950</v>
      </c>
      <c r="C1202" t="s">
        <v>184</v>
      </c>
      <c r="D1202">
        <v>27</v>
      </c>
      <c r="E1202">
        <v>27</v>
      </c>
      <c r="F1202">
        <v>0</v>
      </c>
      <c r="G1202" t="s">
        <v>25</v>
      </c>
      <c r="H1202" t="s">
        <v>99</v>
      </c>
      <c r="I1202" t="s">
        <v>88</v>
      </c>
      <c r="J1202" t="s">
        <v>20</v>
      </c>
      <c r="K1202">
        <v>53021</v>
      </c>
      <c r="L1202">
        <v>8</v>
      </c>
      <c r="M1202" s="1">
        <v>45405</v>
      </c>
    </row>
    <row r="1203" spans="1:13" x14ac:dyDescent="0.35">
      <c r="A1203" t="s">
        <v>1818</v>
      </c>
      <c r="B1203" t="s">
        <v>1074</v>
      </c>
      <c r="C1203" t="s">
        <v>130</v>
      </c>
      <c r="D1203">
        <v>34</v>
      </c>
      <c r="F1203">
        <v>1</v>
      </c>
      <c r="G1203" t="s">
        <v>25</v>
      </c>
      <c r="H1203" t="s">
        <v>58</v>
      </c>
      <c r="I1203" t="s">
        <v>15</v>
      </c>
      <c r="J1203" t="s">
        <v>20</v>
      </c>
      <c r="K1203">
        <v>49636</v>
      </c>
      <c r="L1203">
        <v>2</v>
      </c>
      <c r="M1203" s="1">
        <v>45357</v>
      </c>
    </row>
    <row r="1204" spans="1:13" x14ac:dyDescent="0.35">
      <c r="A1204" t="s">
        <v>1819</v>
      </c>
      <c r="B1204" t="s">
        <v>711</v>
      </c>
      <c r="C1204" t="s">
        <v>172</v>
      </c>
      <c r="D1204">
        <v>13</v>
      </c>
      <c r="E1204">
        <v>13</v>
      </c>
      <c r="F1204">
        <v>0</v>
      </c>
      <c r="G1204" t="s">
        <v>14</v>
      </c>
      <c r="H1204" t="s">
        <v>99</v>
      </c>
      <c r="I1204" t="s">
        <v>105</v>
      </c>
      <c r="J1204" t="s">
        <v>26</v>
      </c>
      <c r="L1204">
        <v>1</v>
      </c>
      <c r="M1204" s="1">
        <v>45465</v>
      </c>
    </row>
    <row r="1205" spans="1:13" x14ac:dyDescent="0.35">
      <c r="A1205" t="s">
        <v>2198</v>
      </c>
      <c r="B1205" t="s">
        <v>1412</v>
      </c>
      <c r="C1205" t="s">
        <v>130</v>
      </c>
      <c r="D1205">
        <v>51</v>
      </c>
      <c r="E1205">
        <v>51</v>
      </c>
      <c r="F1205">
        <v>0</v>
      </c>
      <c r="G1205" t="s">
        <v>25</v>
      </c>
      <c r="H1205" t="s">
        <v>58</v>
      </c>
      <c r="I1205" t="s">
        <v>88</v>
      </c>
      <c r="J1205" t="s">
        <v>40</v>
      </c>
      <c r="L1205">
        <v>3</v>
      </c>
      <c r="M1205" s="1">
        <v>45458</v>
      </c>
    </row>
    <row r="1206" spans="1:13" x14ac:dyDescent="0.35">
      <c r="A1206" t="s">
        <v>1820</v>
      </c>
      <c r="B1206" t="s">
        <v>957</v>
      </c>
      <c r="C1206" t="s">
        <v>45</v>
      </c>
      <c r="D1206">
        <v>23</v>
      </c>
      <c r="E1206">
        <v>23</v>
      </c>
      <c r="F1206">
        <v>0</v>
      </c>
      <c r="G1206" t="s">
        <v>14</v>
      </c>
      <c r="H1206" t="s">
        <v>99</v>
      </c>
      <c r="I1206" t="s">
        <v>88</v>
      </c>
      <c r="J1206" t="s">
        <v>40</v>
      </c>
      <c r="L1206">
        <v>2</v>
      </c>
      <c r="M1206" s="1">
        <v>45589</v>
      </c>
    </row>
    <row r="1207" spans="1:13" x14ac:dyDescent="0.35">
      <c r="A1207" t="s">
        <v>1821</v>
      </c>
      <c r="B1207" t="s">
        <v>55</v>
      </c>
      <c r="C1207" t="s">
        <v>154</v>
      </c>
      <c r="D1207">
        <v>50</v>
      </c>
      <c r="E1207">
        <v>50</v>
      </c>
      <c r="F1207">
        <v>0</v>
      </c>
      <c r="G1207" t="s">
        <v>25</v>
      </c>
      <c r="H1207" t="s">
        <v>19</v>
      </c>
      <c r="I1207" t="s">
        <v>88</v>
      </c>
      <c r="J1207" t="s">
        <v>26</v>
      </c>
      <c r="L1207">
        <v>4</v>
      </c>
      <c r="M1207" s="1">
        <v>45556</v>
      </c>
    </row>
    <row r="1208" spans="1:13" x14ac:dyDescent="0.35">
      <c r="A1208" t="s">
        <v>1822</v>
      </c>
      <c r="B1208" t="s">
        <v>723</v>
      </c>
      <c r="C1208" t="s">
        <v>29</v>
      </c>
      <c r="D1208">
        <v>36</v>
      </c>
      <c r="E1208">
        <v>36</v>
      </c>
      <c r="F1208">
        <v>0</v>
      </c>
      <c r="G1208" t="s">
        <v>25</v>
      </c>
      <c r="H1208" t="s">
        <v>99</v>
      </c>
      <c r="I1208" t="s">
        <v>15</v>
      </c>
      <c r="J1208" t="s">
        <v>37</v>
      </c>
      <c r="K1208">
        <v>39412</v>
      </c>
      <c r="L1208">
        <v>9</v>
      </c>
      <c r="M1208" s="1">
        <v>45392</v>
      </c>
    </row>
    <row r="1209" spans="1:13" x14ac:dyDescent="0.35">
      <c r="A1209" t="s">
        <v>1823</v>
      </c>
      <c r="B1209" t="s">
        <v>261</v>
      </c>
      <c r="C1209" t="s">
        <v>29</v>
      </c>
      <c r="D1209">
        <v>44</v>
      </c>
      <c r="E1209">
        <v>44</v>
      </c>
      <c r="F1209">
        <v>0</v>
      </c>
      <c r="G1209" t="s">
        <v>14</v>
      </c>
      <c r="H1209" t="s">
        <v>32</v>
      </c>
      <c r="I1209" t="s">
        <v>15</v>
      </c>
      <c r="J1209" t="s">
        <v>26</v>
      </c>
      <c r="L1209">
        <v>8</v>
      </c>
      <c r="M1209" s="1">
        <v>45438</v>
      </c>
    </row>
    <row r="1210" spans="1:13" x14ac:dyDescent="0.35">
      <c r="A1210" t="s">
        <v>1824</v>
      </c>
      <c r="B1210" t="s">
        <v>22</v>
      </c>
      <c r="C1210" t="s">
        <v>184</v>
      </c>
      <c r="D1210">
        <v>45</v>
      </c>
      <c r="E1210">
        <v>45</v>
      </c>
      <c r="F1210">
        <v>0</v>
      </c>
      <c r="G1210" t="s">
        <v>14</v>
      </c>
      <c r="H1210" t="s">
        <v>32</v>
      </c>
      <c r="I1210" t="s">
        <v>15</v>
      </c>
      <c r="J1210" t="s">
        <v>20</v>
      </c>
      <c r="K1210">
        <v>66207</v>
      </c>
      <c r="L1210">
        <v>8</v>
      </c>
      <c r="M1210" s="1">
        <v>45447</v>
      </c>
    </row>
    <row r="1211" spans="1:13" x14ac:dyDescent="0.35">
      <c r="A1211" t="s">
        <v>1825</v>
      </c>
      <c r="B1211" t="s">
        <v>1431</v>
      </c>
      <c r="C1211" t="s">
        <v>45</v>
      </c>
      <c r="D1211">
        <v>32</v>
      </c>
      <c r="E1211">
        <v>32</v>
      </c>
      <c r="F1211">
        <v>0</v>
      </c>
      <c r="G1211" t="s">
        <v>14</v>
      </c>
      <c r="H1211" t="s">
        <v>99</v>
      </c>
      <c r="I1211" t="s">
        <v>15</v>
      </c>
      <c r="J1211" t="s">
        <v>40</v>
      </c>
      <c r="L1211">
        <v>4</v>
      </c>
      <c r="M1211" s="1">
        <v>45565</v>
      </c>
    </row>
    <row r="1212" spans="1:13" x14ac:dyDescent="0.35">
      <c r="A1212" t="s">
        <v>1826</v>
      </c>
      <c r="B1212" t="s">
        <v>370</v>
      </c>
      <c r="C1212" t="s">
        <v>154</v>
      </c>
      <c r="D1212">
        <v>56</v>
      </c>
      <c r="E1212">
        <v>56</v>
      </c>
      <c r="F1212">
        <v>0</v>
      </c>
      <c r="G1212" t="s">
        <v>25</v>
      </c>
      <c r="H1212" t="s">
        <v>99</v>
      </c>
      <c r="I1212" t="s">
        <v>105</v>
      </c>
      <c r="J1212" t="s">
        <v>26</v>
      </c>
      <c r="L1212">
        <v>3</v>
      </c>
      <c r="M1212" s="1">
        <v>45498</v>
      </c>
    </row>
    <row r="1213" spans="1:13" x14ac:dyDescent="0.35">
      <c r="A1213" t="s">
        <v>1827</v>
      </c>
      <c r="B1213" t="s">
        <v>939</v>
      </c>
      <c r="C1213" t="s">
        <v>130</v>
      </c>
      <c r="D1213">
        <v>29</v>
      </c>
      <c r="E1213">
        <v>29</v>
      </c>
      <c r="F1213">
        <v>0</v>
      </c>
      <c r="G1213" t="s">
        <v>14</v>
      </c>
      <c r="H1213" t="s">
        <v>19</v>
      </c>
      <c r="I1213" t="s">
        <v>2153</v>
      </c>
      <c r="J1213" t="s">
        <v>37</v>
      </c>
      <c r="K1213">
        <v>53110</v>
      </c>
      <c r="L1213">
        <v>4</v>
      </c>
      <c r="M1213" s="1">
        <v>45385</v>
      </c>
    </row>
    <row r="1214" spans="1:13" x14ac:dyDescent="0.35">
      <c r="A1214" t="s">
        <v>1828</v>
      </c>
      <c r="B1214" t="s">
        <v>374</v>
      </c>
      <c r="C1214" t="s">
        <v>130</v>
      </c>
      <c r="D1214">
        <v>26</v>
      </c>
      <c r="E1214">
        <v>26</v>
      </c>
      <c r="F1214">
        <v>0</v>
      </c>
      <c r="G1214" t="s">
        <v>14</v>
      </c>
      <c r="H1214" t="s">
        <v>99</v>
      </c>
      <c r="I1214" t="s">
        <v>2154</v>
      </c>
      <c r="J1214" t="s">
        <v>20</v>
      </c>
      <c r="K1214">
        <v>31086</v>
      </c>
      <c r="L1214">
        <v>3</v>
      </c>
      <c r="M1214" s="1">
        <v>45402</v>
      </c>
    </row>
    <row r="1215" spans="1:13" x14ac:dyDescent="0.35">
      <c r="A1215" t="s">
        <v>1829</v>
      </c>
      <c r="B1215" t="s">
        <v>935</v>
      </c>
      <c r="C1215" t="s">
        <v>29</v>
      </c>
      <c r="D1215">
        <v>51</v>
      </c>
      <c r="E1215">
        <v>51</v>
      </c>
      <c r="F1215">
        <v>0</v>
      </c>
      <c r="G1215" t="s">
        <v>25</v>
      </c>
      <c r="H1215" t="s">
        <v>99</v>
      </c>
      <c r="I1215" t="s">
        <v>15</v>
      </c>
      <c r="J1215" t="s">
        <v>40</v>
      </c>
      <c r="L1215">
        <v>4</v>
      </c>
      <c r="M1215" s="1">
        <v>45309</v>
      </c>
    </row>
    <row r="1216" spans="1:13" x14ac:dyDescent="0.35">
      <c r="A1216" t="s">
        <v>1830</v>
      </c>
      <c r="B1216" t="s">
        <v>1138</v>
      </c>
      <c r="C1216" t="s">
        <v>69</v>
      </c>
      <c r="D1216">
        <v>22</v>
      </c>
      <c r="E1216">
        <v>22</v>
      </c>
      <c r="F1216">
        <v>0</v>
      </c>
      <c r="G1216" t="s">
        <v>14</v>
      </c>
      <c r="H1216" t="s">
        <v>99</v>
      </c>
      <c r="I1216" t="s">
        <v>15</v>
      </c>
      <c r="J1216" t="s">
        <v>26</v>
      </c>
      <c r="L1216">
        <v>1</v>
      </c>
      <c r="M1216" s="1">
        <v>45373</v>
      </c>
    </row>
    <row r="1217" spans="1:13" x14ac:dyDescent="0.35">
      <c r="A1217" t="s">
        <v>1831</v>
      </c>
      <c r="B1217" t="s">
        <v>198</v>
      </c>
      <c r="C1217" t="s">
        <v>69</v>
      </c>
      <c r="D1217">
        <v>33</v>
      </c>
      <c r="E1217">
        <v>33</v>
      </c>
      <c r="F1217">
        <v>0</v>
      </c>
      <c r="G1217" t="s">
        <v>25</v>
      </c>
      <c r="H1217" t="s">
        <v>19</v>
      </c>
      <c r="I1217" t="s">
        <v>15</v>
      </c>
      <c r="J1217" t="s">
        <v>16</v>
      </c>
      <c r="L1217">
        <v>2</v>
      </c>
      <c r="M1217" s="1">
        <v>45364</v>
      </c>
    </row>
    <row r="1218" spans="1:13" x14ac:dyDescent="0.35">
      <c r="A1218" t="s">
        <v>1832</v>
      </c>
      <c r="B1218" t="s">
        <v>1674</v>
      </c>
      <c r="C1218" t="s">
        <v>69</v>
      </c>
      <c r="D1218">
        <v>48</v>
      </c>
      <c r="E1218">
        <v>48</v>
      </c>
      <c r="F1218">
        <v>0</v>
      </c>
      <c r="G1218" t="s">
        <v>14</v>
      </c>
      <c r="H1218" t="s">
        <v>32</v>
      </c>
      <c r="I1218" t="s">
        <v>105</v>
      </c>
      <c r="J1218" t="s">
        <v>16</v>
      </c>
      <c r="L1218">
        <v>4</v>
      </c>
      <c r="M1218" s="1">
        <v>45460</v>
      </c>
    </row>
    <row r="1219" spans="1:13" x14ac:dyDescent="0.35">
      <c r="A1219" t="s">
        <v>1833</v>
      </c>
      <c r="B1219" t="s">
        <v>1834</v>
      </c>
      <c r="C1219" t="s">
        <v>154</v>
      </c>
      <c r="D1219">
        <v>51</v>
      </c>
      <c r="E1219">
        <v>51</v>
      </c>
      <c r="F1219">
        <v>0</v>
      </c>
      <c r="G1219" t="s">
        <v>14</v>
      </c>
      <c r="H1219" t="s">
        <v>58</v>
      </c>
      <c r="I1219" t="s">
        <v>88</v>
      </c>
      <c r="J1219" t="s">
        <v>16</v>
      </c>
      <c r="L1219">
        <v>9</v>
      </c>
      <c r="M1219" s="1">
        <v>45467</v>
      </c>
    </row>
    <row r="1220" spans="1:13" x14ac:dyDescent="0.35">
      <c r="A1220" t="s">
        <v>1835</v>
      </c>
      <c r="B1220" t="s">
        <v>446</v>
      </c>
      <c r="C1220" t="s">
        <v>154</v>
      </c>
      <c r="D1220">
        <v>27</v>
      </c>
      <c r="E1220">
        <v>27</v>
      </c>
      <c r="F1220">
        <v>0</v>
      </c>
      <c r="G1220" t="s">
        <v>14</v>
      </c>
      <c r="H1220" t="s">
        <v>58</v>
      </c>
      <c r="I1220" t="s">
        <v>88</v>
      </c>
      <c r="J1220" t="s">
        <v>16</v>
      </c>
      <c r="L1220">
        <v>2</v>
      </c>
      <c r="M1220" s="1">
        <v>45380</v>
      </c>
    </row>
    <row r="1221" spans="1:13" x14ac:dyDescent="0.35">
      <c r="A1221" t="s">
        <v>1836</v>
      </c>
      <c r="B1221" t="s">
        <v>1837</v>
      </c>
      <c r="C1221" t="s">
        <v>29</v>
      </c>
      <c r="D1221">
        <v>25</v>
      </c>
      <c r="E1221">
        <v>25</v>
      </c>
      <c r="F1221">
        <v>0</v>
      </c>
      <c r="G1221" t="s">
        <v>14</v>
      </c>
      <c r="H1221" t="s">
        <v>99</v>
      </c>
      <c r="I1221" t="s">
        <v>15</v>
      </c>
      <c r="J1221" t="s">
        <v>20</v>
      </c>
      <c r="K1221">
        <v>69783</v>
      </c>
      <c r="L1221">
        <v>6</v>
      </c>
      <c r="M1221" s="1">
        <v>45584</v>
      </c>
    </row>
    <row r="1222" spans="1:13" x14ac:dyDescent="0.35">
      <c r="A1222" t="s">
        <v>1838</v>
      </c>
      <c r="B1222" t="s">
        <v>535</v>
      </c>
      <c r="C1222" t="s">
        <v>45</v>
      </c>
      <c r="D1222">
        <v>19</v>
      </c>
      <c r="E1222">
        <v>19</v>
      </c>
      <c r="F1222">
        <v>0</v>
      </c>
      <c r="G1222" t="s">
        <v>25</v>
      </c>
      <c r="H1222" t="s">
        <v>32</v>
      </c>
      <c r="I1222" t="s">
        <v>15</v>
      </c>
      <c r="J1222" t="s">
        <v>16</v>
      </c>
      <c r="L1222">
        <v>9</v>
      </c>
      <c r="M1222" s="1">
        <v>45569</v>
      </c>
    </row>
    <row r="1223" spans="1:13" x14ac:dyDescent="0.35">
      <c r="A1223" t="s">
        <v>1839</v>
      </c>
      <c r="B1223" t="s">
        <v>416</v>
      </c>
      <c r="C1223" t="s">
        <v>130</v>
      </c>
      <c r="D1223">
        <v>39</v>
      </c>
      <c r="E1223">
        <v>39</v>
      </c>
      <c r="F1223">
        <v>0</v>
      </c>
      <c r="G1223" t="s">
        <v>25</v>
      </c>
      <c r="H1223" t="s">
        <v>99</v>
      </c>
      <c r="I1223" t="s">
        <v>105</v>
      </c>
      <c r="J1223" t="s">
        <v>26</v>
      </c>
      <c r="L1223">
        <v>4</v>
      </c>
      <c r="M1223" s="1">
        <v>45537</v>
      </c>
    </row>
    <row r="1224" spans="1:13" x14ac:dyDescent="0.35">
      <c r="A1224" t="s">
        <v>1840</v>
      </c>
      <c r="B1224" t="s">
        <v>410</v>
      </c>
      <c r="C1224" t="s">
        <v>13</v>
      </c>
      <c r="D1224">
        <v>30</v>
      </c>
      <c r="E1224">
        <v>30</v>
      </c>
      <c r="F1224">
        <v>0</v>
      </c>
      <c r="G1224" t="s">
        <v>14</v>
      </c>
      <c r="H1224" t="s">
        <v>58</v>
      </c>
      <c r="I1224" t="s">
        <v>2153</v>
      </c>
      <c r="J1224" t="s">
        <v>37</v>
      </c>
      <c r="K1224">
        <v>69704</v>
      </c>
      <c r="L1224">
        <v>8</v>
      </c>
      <c r="M1224" s="1">
        <v>45378</v>
      </c>
    </row>
    <row r="1225" spans="1:13" x14ac:dyDescent="0.35">
      <c r="A1225" t="s">
        <v>1841</v>
      </c>
      <c r="B1225" t="s">
        <v>1842</v>
      </c>
      <c r="C1225" t="s">
        <v>117</v>
      </c>
      <c r="D1225">
        <v>6</v>
      </c>
      <c r="E1225">
        <v>6</v>
      </c>
      <c r="F1225">
        <v>0</v>
      </c>
      <c r="G1225" t="s">
        <v>14</v>
      </c>
      <c r="H1225" t="s">
        <v>99</v>
      </c>
      <c r="I1225" t="s">
        <v>15</v>
      </c>
      <c r="J1225" t="s">
        <v>26</v>
      </c>
      <c r="L1225">
        <v>9</v>
      </c>
      <c r="M1225" s="1">
        <v>45298</v>
      </c>
    </row>
    <row r="1226" spans="1:13" x14ac:dyDescent="0.35">
      <c r="A1226" t="s">
        <v>1843</v>
      </c>
      <c r="B1226" t="s">
        <v>36</v>
      </c>
      <c r="C1226" t="s">
        <v>119</v>
      </c>
      <c r="D1226">
        <v>1</v>
      </c>
      <c r="E1226">
        <v>1</v>
      </c>
      <c r="F1226">
        <v>0</v>
      </c>
      <c r="G1226" t="s">
        <v>25</v>
      </c>
      <c r="H1226" t="s">
        <v>99</v>
      </c>
      <c r="I1226" t="s">
        <v>105</v>
      </c>
      <c r="J1226" t="s">
        <v>26</v>
      </c>
      <c r="L1226">
        <v>9</v>
      </c>
      <c r="M1226" s="1">
        <v>45580</v>
      </c>
    </row>
    <row r="1227" spans="1:13" x14ac:dyDescent="0.35">
      <c r="A1227" t="s">
        <v>1844</v>
      </c>
      <c r="B1227" t="s">
        <v>51</v>
      </c>
      <c r="C1227" t="s">
        <v>130</v>
      </c>
      <c r="D1227">
        <v>33</v>
      </c>
      <c r="E1227">
        <v>33</v>
      </c>
      <c r="F1227">
        <v>0</v>
      </c>
      <c r="G1227" t="s">
        <v>14</v>
      </c>
      <c r="H1227" t="s">
        <v>32</v>
      </c>
      <c r="I1227" t="s">
        <v>15</v>
      </c>
      <c r="J1227" t="s">
        <v>20</v>
      </c>
      <c r="K1227">
        <v>55207</v>
      </c>
      <c r="L1227">
        <v>8</v>
      </c>
      <c r="M1227" s="1">
        <v>45462</v>
      </c>
    </row>
    <row r="1228" spans="1:13" x14ac:dyDescent="0.35">
      <c r="A1228" t="s">
        <v>1845</v>
      </c>
      <c r="B1228" t="s">
        <v>1846</v>
      </c>
      <c r="C1228" t="s">
        <v>184</v>
      </c>
      <c r="D1228">
        <v>16</v>
      </c>
      <c r="E1228">
        <v>16</v>
      </c>
      <c r="F1228">
        <v>0</v>
      </c>
      <c r="G1228" t="s">
        <v>14</v>
      </c>
      <c r="H1228" t="s">
        <v>58</v>
      </c>
      <c r="I1228" t="s">
        <v>2154</v>
      </c>
      <c r="J1228" t="s">
        <v>37</v>
      </c>
      <c r="K1228">
        <v>43643</v>
      </c>
      <c r="L1228">
        <v>3</v>
      </c>
      <c r="M1228" s="1">
        <v>45584</v>
      </c>
    </row>
    <row r="1229" spans="1:13" x14ac:dyDescent="0.35">
      <c r="A1229" t="s">
        <v>1847</v>
      </c>
      <c r="B1229" t="s">
        <v>768</v>
      </c>
      <c r="C1229" t="s">
        <v>119</v>
      </c>
      <c r="D1229">
        <v>36</v>
      </c>
      <c r="E1229">
        <v>36</v>
      </c>
      <c r="F1229">
        <v>0</v>
      </c>
      <c r="G1229" t="s">
        <v>14</v>
      </c>
      <c r="H1229" t="s">
        <v>32</v>
      </c>
      <c r="I1229" t="s">
        <v>15</v>
      </c>
      <c r="J1229" t="s">
        <v>37</v>
      </c>
      <c r="K1229">
        <v>30000</v>
      </c>
      <c r="L1229">
        <v>8</v>
      </c>
      <c r="M1229" s="1">
        <v>45523</v>
      </c>
    </row>
    <row r="1230" spans="1:13" x14ac:dyDescent="0.35">
      <c r="A1230" t="s">
        <v>1848</v>
      </c>
      <c r="B1230" t="s">
        <v>1834</v>
      </c>
      <c r="C1230" t="s">
        <v>154</v>
      </c>
      <c r="D1230">
        <v>19</v>
      </c>
      <c r="E1230">
        <v>19</v>
      </c>
      <c r="F1230">
        <v>0</v>
      </c>
      <c r="G1230" t="s">
        <v>14</v>
      </c>
      <c r="H1230" t="s">
        <v>32</v>
      </c>
      <c r="I1230" t="s">
        <v>15</v>
      </c>
      <c r="J1230" t="s">
        <v>40</v>
      </c>
      <c r="L1230">
        <v>4</v>
      </c>
      <c r="M1230" s="1">
        <v>45429</v>
      </c>
    </row>
    <row r="1231" spans="1:13" x14ac:dyDescent="0.35">
      <c r="A1231" t="s">
        <v>1849</v>
      </c>
      <c r="B1231" t="s">
        <v>1364</v>
      </c>
      <c r="C1231" t="s">
        <v>154</v>
      </c>
      <c r="D1231">
        <v>36</v>
      </c>
      <c r="E1231">
        <v>36</v>
      </c>
      <c r="F1231">
        <v>0</v>
      </c>
      <c r="G1231" t="s">
        <v>14</v>
      </c>
      <c r="H1231" t="s">
        <v>58</v>
      </c>
      <c r="I1231" t="s">
        <v>88</v>
      </c>
      <c r="J1231" t="s">
        <v>16</v>
      </c>
      <c r="L1231">
        <v>6</v>
      </c>
      <c r="M1231" s="1">
        <v>45485</v>
      </c>
    </row>
    <row r="1232" spans="1:13" x14ac:dyDescent="0.35">
      <c r="A1232" t="s">
        <v>2199</v>
      </c>
      <c r="B1232" t="s">
        <v>432</v>
      </c>
      <c r="C1232" t="s">
        <v>45</v>
      </c>
      <c r="D1232">
        <v>1</v>
      </c>
      <c r="E1232">
        <v>1</v>
      </c>
      <c r="F1232">
        <v>0</v>
      </c>
      <c r="G1232" t="s">
        <v>14</v>
      </c>
      <c r="H1232" t="s">
        <v>99</v>
      </c>
      <c r="I1232" t="s">
        <v>15</v>
      </c>
      <c r="J1232" t="s">
        <v>26</v>
      </c>
      <c r="L1232">
        <v>6</v>
      </c>
      <c r="M1232" s="1">
        <v>45385</v>
      </c>
    </row>
    <row r="1233" spans="1:13" x14ac:dyDescent="0.35">
      <c r="A1233" t="s">
        <v>1850</v>
      </c>
      <c r="B1233" t="s">
        <v>1302</v>
      </c>
      <c r="C1233" t="s">
        <v>184</v>
      </c>
      <c r="D1233">
        <v>38</v>
      </c>
      <c r="E1233">
        <v>38</v>
      </c>
      <c r="F1233">
        <v>0</v>
      </c>
      <c r="G1233" t="s">
        <v>25</v>
      </c>
      <c r="H1233" t="s">
        <v>58</v>
      </c>
      <c r="I1233" t="s">
        <v>105</v>
      </c>
      <c r="J1233" t="s">
        <v>26</v>
      </c>
      <c r="L1233">
        <v>1</v>
      </c>
      <c r="M1233" s="1">
        <v>45401</v>
      </c>
    </row>
    <row r="1234" spans="1:13" x14ac:dyDescent="0.35">
      <c r="A1234" t="s">
        <v>1851</v>
      </c>
      <c r="B1234" t="s">
        <v>1221</v>
      </c>
      <c r="C1234" t="s">
        <v>69</v>
      </c>
      <c r="D1234">
        <v>30</v>
      </c>
      <c r="E1234">
        <v>30</v>
      </c>
      <c r="F1234">
        <v>0</v>
      </c>
      <c r="G1234" t="s">
        <v>14</v>
      </c>
      <c r="H1234" t="s">
        <v>99</v>
      </c>
      <c r="I1234" t="s">
        <v>88</v>
      </c>
      <c r="J1234" t="s">
        <v>40</v>
      </c>
      <c r="L1234">
        <v>9</v>
      </c>
      <c r="M1234" s="1">
        <v>45550</v>
      </c>
    </row>
    <row r="1235" spans="1:13" x14ac:dyDescent="0.35">
      <c r="A1235" t="s">
        <v>1852</v>
      </c>
      <c r="B1235" t="s">
        <v>1380</v>
      </c>
      <c r="C1235" t="s">
        <v>172</v>
      </c>
      <c r="D1235">
        <v>19</v>
      </c>
      <c r="E1235">
        <v>19</v>
      </c>
      <c r="F1235">
        <v>0</v>
      </c>
      <c r="G1235" t="s">
        <v>14</v>
      </c>
      <c r="H1235" t="s">
        <v>58</v>
      </c>
      <c r="I1235" t="s">
        <v>105</v>
      </c>
      <c r="J1235" t="s">
        <v>20</v>
      </c>
      <c r="K1235">
        <v>92243</v>
      </c>
      <c r="L1235">
        <v>8</v>
      </c>
      <c r="M1235" s="1">
        <v>45559</v>
      </c>
    </row>
    <row r="1236" spans="1:13" x14ac:dyDescent="0.35">
      <c r="A1236" t="s">
        <v>1853</v>
      </c>
      <c r="B1236" t="s">
        <v>1025</v>
      </c>
      <c r="C1236" t="s">
        <v>13</v>
      </c>
      <c r="D1236">
        <v>23</v>
      </c>
      <c r="E1236">
        <v>23</v>
      </c>
      <c r="F1236">
        <v>0</v>
      </c>
      <c r="G1236" t="s">
        <v>25</v>
      </c>
      <c r="H1236" t="s">
        <v>32</v>
      </c>
      <c r="I1236" t="s">
        <v>105</v>
      </c>
      <c r="J1236" t="s">
        <v>37</v>
      </c>
      <c r="K1236">
        <v>48056</v>
      </c>
      <c r="L1236">
        <v>6</v>
      </c>
      <c r="M1236" s="1">
        <v>45518</v>
      </c>
    </row>
    <row r="1237" spans="1:13" x14ac:dyDescent="0.35">
      <c r="A1237" t="s">
        <v>1854</v>
      </c>
      <c r="B1237" t="s">
        <v>652</v>
      </c>
      <c r="C1237" t="s">
        <v>154</v>
      </c>
      <c r="D1237">
        <v>61</v>
      </c>
      <c r="E1237">
        <v>61</v>
      </c>
      <c r="F1237">
        <v>0</v>
      </c>
      <c r="G1237" t="s">
        <v>14</v>
      </c>
      <c r="H1237" t="s">
        <v>19</v>
      </c>
      <c r="I1237" t="s">
        <v>2154</v>
      </c>
      <c r="J1237" t="s">
        <v>20</v>
      </c>
      <c r="K1237">
        <v>99475</v>
      </c>
      <c r="L1237">
        <v>9</v>
      </c>
      <c r="M1237" s="1">
        <v>45395</v>
      </c>
    </row>
    <row r="1238" spans="1:13" x14ac:dyDescent="0.35">
      <c r="A1238" t="s">
        <v>1855</v>
      </c>
      <c r="B1238" t="s">
        <v>1856</v>
      </c>
      <c r="C1238" t="s">
        <v>130</v>
      </c>
      <c r="D1238">
        <v>25</v>
      </c>
      <c r="E1238">
        <v>25</v>
      </c>
      <c r="F1238">
        <v>0</v>
      </c>
      <c r="G1238" t="s">
        <v>14</v>
      </c>
      <c r="H1238" t="s">
        <v>32</v>
      </c>
      <c r="I1238" t="s">
        <v>88</v>
      </c>
      <c r="J1238" t="s">
        <v>37</v>
      </c>
      <c r="K1238">
        <v>30000</v>
      </c>
      <c r="L1238">
        <v>5</v>
      </c>
      <c r="M1238" s="1">
        <v>45479</v>
      </c>
    </row>
    <row r="1239" spans="1:13" x14ac:dyDescent="0.35">
      <c r="A1239" t="s">
        <v>2200</v>
      </c>
      <c r="B1239" t="s">
        <v>832</v>
      </c>
      <c r="C1239" t="s">
        <v>172</v>
      </c>
      <c r="D1239">
        <v>53</v>
      </c>
      <c r="E1239">
        <v>53</v>
      </c>
      <c r="F1239">
        <v>0</v>
      </c>
      <c r="G1239" t="s">
        <v>14</v>
      </c>
      <c r="H1239" t="s">
        <v>19</v>
      </c>
      <c r="I1239" t="s">
        <v>15</v>
      </c>
      <c r="J1239" t="s">
        <v>40</v>
      </c>
      <c r="L1239">
        <v>5</v>
      </c>
      <c r="M1239" s="1">
        <v>45495</v>
      </c>
    </row>
    <row r="1240" spans="1:13" x14ac:dyDescent="0.35">
      <c r="A1240" t="s">
        <v>1857</v>
      </c>
      <c r="B1240" t="s">
        <v>807</v>
      </c>
      <c r="C1240" t="s">
        <v>130</v>
      </c>
      <c r="D1240">
        <v>18</v>
      </c>
      <c r="E1240">
        <v>18</v>
      </c>
      <c r="F1240">
        <v>0</v>
      </c>
      <c r="G1240" t="s">
        <v>25</v>
      </c>
      <c r="H1240" t="s">
        <v>32</v>
      </c>
      <c r="I1240" t="s">
        <v>105</v>
      </c>
      <c r="J1240" t="s">
        <v>20</v>
      </c>
      <c r="K1240">
        <v>74982</v>
      </c>
      <c r="L1240">
        <v>8</v>
      </c>
      <c r="M1240" s="1">
        <v>45391</v>
      </c>
    </row>
    <row r="1241" spans="1:13" x14ac:dyDescent="0.35">
      <c r="A1241" t="s">
        <v>1858</v>
      </c>
      <c r="B1241" t="s">
        <v>813</v>
      </c>
      <c r="C1241" t="s">
        <v>13</v>
      </c>
      <c r="D1241">
        <v>40</v>
      </c>
      <c r="E1241">
        <v>40</v>
      </c>
      <c r="F1241">
        <v>0</v>
      </c>
      <c r="G1241" t="s">
        <v>14</v>
      </c>
      <c r="H1241" t="s">
        <v>32</v>
      </c>
      <c r="I1241" t="s">
        <v>88</v>
      </c>
      <c r="J1241" t="s">
        <v>37</v>
      </c>
      <c r="K1241">
        <v>42414</v>
      </c>
      <c r="L1241">
        <v>5</v>
      </c>
      <c r="M1241" s="1">
        <v>45300</v>
      </c>
    </row>
    <row r="1242" spans="1:13" x14ac:dyDescent="0.35">
      <c r="A1242" t="s">
        <v>1859</v>
      </c>
      <c r="B1242" t="s">
        <v>1860</v>
      </c>
      <c r="C1242" t="s">
        <v>119</v>
      </c>
      <c r="D1242">
        <v>30</v>
      </c>
      <c r="E1242">
        <v>30</v>
      </c>
      <c r="F1242">
        <v>0</v>
      </c>
      <c r="G1242" t="s">
        <v>14</v>
      </c>
      <c r="H1242" t="s">
        <v>58</v>
      </c>
      <c r="I1242" t="s">
        <v>15</v>
      </c>
      <c r="J1242" t="s">
        <v>40</v>
      </c>
      <c r="L1242">
        <v>7</v>
      </c>
      <c r="M1242" s="1">
        <v>45360</v>
      </c>
    </row>
    <row r="1243" spans="1:13" x14ac:dyDescent="0.35">
      <c r="A1243" t="s">
        <v>1861</v>
      </c>
      <c r="B1243" t="s">
        <v>1862</v>
      </c>
      <c r="C1243" t="s">
        <v>117</v>
      </c>
      <c r="D1243">
        <v>51</v>
      </c>
      <c r="E1243">
        <v>51</v>
      </c>
      <c r="F1243">
        <v>0</v>
      </c>
      <c r="G1243" t="s">
        <v>14</v>
      </c>
      <c r="H1243" t="s">
        <v>32</v>
      </c>
      <c r="I1243" t="s">
        <v>15</v>
      </c>
      <c r="J1243" t="s">
        <v>37</v>
      </c>
      <c r="K1243">
        <v>31547</v>
      </c>
      <c r="L1243">
        <v>5</v>
      </c>
      <c r="M1243" s="1">
        <v>45409</v>
      </c>
    </row>
    <row r="1244" spans="1:13" x14ac:dyDescent="0.35">
      <c r="A1244" t="s">
        <v>1863</v>
      </c>
      <c r="B1244" t="s">
        <v>1003</v>
      </c>
      <c r="C1244" t="s">
        <v>29</v>
      </c>
      <c r="D1244">
        <v>33</v>
      </c>
      <c r="E1244">
        <v>33</v>
      </c>
      <c r="F1244">
        <v>0</v>
      </c>
      <c r="G1244" t="s">
        <v>25</v>
      </c>
      <c r="H1244" t="s">
        <v>19</v>
      </c>
      <c r="I1244" t="s">
        <v>105</v>
      </c>
      <c r="J1244" t="s">
        <v>40</v>
      </c>
      <c r="L1244">
        <v>1</v>
      </c>
      <c r="M1244" s="1">
        <v>45549</v>
      </c>
    </row>
    <row r="1245" spans="1:13" x14ac:dyDescent="0.35">
      <c r="A1245" t="s">
        <v>1864</v>
      </c>
      <c r="B1245" t="s">
        <v>918</v>
      </c>
      <c r="C1245" t="s">
        <v>130</v>
      </c>
      <c r="D1245">
        <v>27</v>
      </c>
      <c r="E1245">
        <v>27</v>
      </c>
      <c r="F1245">
        <v>0</v>
      </c>
      <c r="G1245" t="s">
        <v>14</v>
      </c>
      <c r="H1245" t="s">
        <v>99</v>
      </c>
      <c r="I1245" t="s">
        <v>15</v>
      </c>
      <c r="J1245" t="s">
        <v>26</v>
      </c>
      <c r="L1245">
        <v>2</v>
      </c>
      <c r="M1245" s="1">
        <v>45403</v>
      </c>
    </row>
    <row r="1246" spans="1:13" x14ac:dyDescent="0.35">
      <c r="A1246" t="s">
        <v>2201</v>
      </c>
      <c r="B1246" t="s">
        <v>136</v>
      </c>
      <c r="C1246" t="s">
        <v>45</v>
      </c>
      <c r="D1246">
        <v>27</v>
      </c>
      <c r="E1246">
        <v>27</v>
      </c>
      <c r="F1246">
        <v>0</v>
      </c>
      <c r="G1246" t="s">
        <v>14</v>
      </c>
      <c r="H1246" t="s">
        <v>32</v>
      </c>
      <c r="I1246" t="s">
        <v>15</v>
      </c>
      <c r="J1246" t="s">
        <v>16</v>
      </c>
      <c r="L1246">
        <v>9</v>
      </c>
      <c r="M1246" s="1">
        <v>45407</v>
      </c>
    </row>
    <row r="1247" spans="1:13" x14ac:dyDescent="0.35">
      <c r="A1247" t="s">
        <v>1865</v>
      </c>
      <c r="B1247" t="s">
        <v>1866</v>
      </c>
      <c r="C1247" t="s">
        <v>184</v>
      </c>
      <c r="D1247">
        <v>36</v>
      </c>
      <c r="E1247">
        <v>36</v>
      </c>
      <c r="F1247">
        <v>0</v>
      </c>
      <c r="G1247" t="s">
        <v>25</v>
      </c>
      <c r="H1247" t="s">
        <v>58</v>
      </c>
      <c r="I1247" t="s">
        <v>2154</v>
      </c>
      <c r="J1247" t="s">
        <v>40</v>
      </c>
      <c r="L1247">
        <v>3</v>
      </c>
      <c r="M1247" s="1">
        <v>45477</v>
      </c>
    </row>
    <row r="1248" spans="1:13" x14ac:dyDescent="0.35">
      <c r="A1248" t="s">
        <v>1867</v>
      </c>
      <c r="B1248" t="s">
        <v>249</v>
      </c>
      <c r="C1248" t="s">
        <v>154</v>
      </c>
      <c r="D1248">
        <v>31</v>
      </c>
      <c r="E1248">
        <v>31</v>
      </c>
      <c r="F1248">
        <v>0</v>
      </c>
      <c r="G1248" t="s">
        <v>14</v>
      </c>
      <c r="H1248" t="s">
        <v>58</v>
      </c>
      <c r="I1248" t="s">
        <v>15</v>
      </c>
      <c r="J1248" t="s">
        <v>26</v>
      </c>
      <c r="L1248">
        <v>1</v>
      </c>
      <c r="M1248" s="1">
        <v>45406</v>
      </c>
    </row>
    <row r="1249" spans="1:13" x14ac:dyDescent="0.35">
      <c r="A1249" t="s">
        <v>1868</v>
      </c>
      <c r="B1249" t="s">
        <v>2202</v>
      </c>
      <c r="C1249" t="s">
        <v>45</v>
      </c>
      <c r="D1249">
        <v>32</v>
      </c>
      <c r="E1249">
        <v>32</v>
      </c>
      <c r="F1249">
        <v>0</v>
      </c>
      <c r="G1249" t="s">
        <v>25</v>
      </c>
      <c r="H1249" t="s">
        <v>58</v>
      </c>
      <c r="I1249" t="s">
        <v>15</v>
      </c>
      <c r="J1249" t="s">
        <v>16</v>
      </c>
      <c r="L1249">
        <v>4</v>
      </c>
      <c r="M1249" s="1">
        <v>45419</v>
      </c>
    </row>
    <row r="1250" spans="1:13" x14ac:dyDescent="0.35">
      <c r="A1250" t="s">
        <v>1869</v>
      </c>
      <c r="B1250" t="s">
        <v>1254</v>
      </c>
      <c r="C1250" t="s">
        <v>154</v>
      </c>
      <c r="D1250">
        <v>59</v>
      </c>
      <c r="E1250">
        <v>59</v>
      </c>
      <c r="F1250">
        <v>0</v>
      </c>
      <c r="G1250" t="s">
        <v>14</v>
      </c>
      <c r="H1250" t="s">
        <v>99</v>
      </c>
      <c r="I1250" t="s">
        <v>105</v>
      </c>
      <c r="J1250" t="s">
        <v>16</v>
      </c>
      <c r="L1250">
        <v>7</v>
      </c>
      <c r="M1250" s="1">
        <v>45434</v>
      </c>
    </row>
    <row r="1251" spans="1:13" x14ac:dyDescent="0.35">
      <c r="A1251" t="s">
        <v>1870</v>
      </c>
      <c r="B1251" t="s">
        <v>772</v>
      </c>
      <c r="C1251" t="s">
        <v>45</v>
      </c>
      <c r="D1251">
        <v>29</v>
      </c>
      <c r="E1251">
        <v>29</v>
      </c>
      <c r="F1251">
        <v>0</v>
      </c>
      <c r="G1251" t="s">
        <v>25</v>
      </c>
      <c r="H1251" t="s">
        <v>99</v>
      </c>
      <c r="I1251" t="s">
        <v>15</v>
      </c>
      <c r="J1251" t="s">
        <v>26</v>
      </c>
      <c r="L1251">
        <v>5</v>
      </c>
      <c r="M1251" s="1">
        <v>45553</v>
      </c>
    </row>
    <row r="1252" spans="1:13" x14ac:dyDescent="0.35">
      <c r="A1252" t="s">
        <v>1871</v>
      </c>
      <c r="B1252" t="s">
        <v>1213</v>
      </c>
      <c r="C1252" t="s">
        <v>117</v>
      </c>
      <c r="D1252">
        <v>20</v>
      </c>
      <c r="E1252">
        <v>20</v>
      </c>
      <c r="F1252">
        <v>0</v>
      </c>
      <c r="G1252" t="s">
        <v>14</v>
      </c>
      <c r="H1252" t="s">
        <v>99</v>
      </c>
      <c r="I1252" t="s">
        <v>88</v>
      </c>
      <c r="J1252" t="s">
        <v>26</v>
      </c>
      <c r="L1252">
        <v>2</v>
      </c>
      <c r="M1252" s="1">
        <v>45535</v>
      </c>
    </row>
    <row r="1253" spans="1:13" x14ac:dyDescent="0.35">
      <c r="A1253" t="s">
        <v>1872</v>
      </c>
      <c r="B1253" t="s">
        <v>49</v>
      </c>
      <c r="C1253" t="s">
        <v>69</v>
      </c>
      <c r="D1253">
        <v>36</v>
      </c>
      <c r="E1253">
        <v>36</v>
      </c>
      <c r="F1253">
        <v>0</v>
      </c>
      <c r="G1253" t="s">
        <v>25</v>
      </c>
      <c r="H1253" t="s">
        <v>32</v>
      </c>
      <c r="I1253" t="s">
        <v>88</v>
      </c>
      <c r="J1253" t="s">
        <v>37</v>
      </c>
      <c r="K1253">
        <v>75032</v>
      </c>
      <c r="L1253">
        <v>5</v>
      </c>
      <c r="M1253" s="1">
        <v>45321</v>
      </c>
    </row>
    <row r="1254" spans="1:13" x14ac:dyDescent="0.35">
      <c r="A1254" t="s">
        <v>1873</v>
      </c>
      <c r="B1254" t="s">
        <v>328</v>
      </c>
      <c r="C1254" t="s">
        <v>117</v>
      </c>
      <c r="D1254">
        <v>39</v>
      </c>
      <c r="E1254">
        <v>39</v>
      </c>
      <c r="F1254">
        <v>0</v>
      </c>
      <c r="G1254" t="s">
        <v>14</v>
      </c>
      <c r="H1254" t="s">
        <v>32</v>
      </c>
      <c r="I1254" t="s">
        <v>2153</v>
      </c>
      <c r="J1254" t="s">
        <v>40</v>
      </c>
      <c r="L1254">
        <v>5</v>
      </c>
      <c r="M1254" s="1">
        <v>45522</v>
      </c>
    </row>
    <row r="1255" spans="1:13" x14ac:dyDescent="0.35">
      <c r="A1255" t="s">
        <v>1874</v>
      </c>
      <c r="B1255" t="s">
        <v>1875</v>
      </c>
      <c r="C1255" t="s">
        <v>119</v>
      </c>
      <c r="D1255">
        <v>51</v>
      </c>
      <c r="E1255">
        <v>51</v>
      </c>
      <c r="F1255">
        <v>0</v>
      </c>
      <c r="G1255" t="s">
        <v>14</v>
      </c>
      <c r="H1255" t="s">
        <v>58</v>
      </c>
      <c r="I1255" t="s">
        <v>15</v>
      </c>
      <c r="J1255" t="s">
        <v>40</v>
      </c>
      <c r="L1255">
        <v>8</v>
      </c>
      <c r="M1255" s="1">
        <v>45546</v>
      </c>
    </row>
    <row r="1256" spans="1:13" x14ac:dyDescent="0.35">
      <c r="A1256" t="s">
        <v>1876</v>
      </c>
      <c r="B1256" t="s">
        <v>1130</v>
      </c>
      <c r="C1256" t="s">
        <v>119</v>
      </c>
      <c r="D1256">
        <v>29</v>
      </c>
      <c r="E1256">
        <v>29</v>
      </c>
      <c r="F1256">
        <v>0</v>
      </c>
      <c r="G1256" t="s">
        <v>14</v>
      </c>
      <c r="H1256" t="s">
        <v>58</v>
      </c>
      <c r="I1256" t="s">
        <v>88</v>
      </c>
      <c r="J1256" t="s">
        <v>20</v>
      </c>
      <c r="K1256">
        <v>56009</v>
      </c>
      <c r="L1256">
        <v>9</v>
      </c>
      <c r="M1256" s="1">
        <v>45557</v>
      </c>
    </row>
    <row r="1257" spans="1:13" x14ac:dyDescent="0.35">
      <c r="A1257" t="s">
        <v>1877</v>
      </c>
      <c r="B1257" t="s">
        <v>605</v>
      </c>
      <c r="C1257" t="s">
        <v>154</v>
      </c>
      <c r="D1257">
        <v>24</v>
      </c>
      <c r="E1257">
        <v>24</v>
      </c>
      <c r="F1257">
        <v>0</v>
      </c>
      <c r="G1257" t="s">
        <v>25</v>
      </c>
      <c r="H1257" t="s">
        <v>99</v>
      </c>
      <c r="I1257" t="s">
        <v>15</v>
      </c>
      <c r="J1257" t="s">
        <v>37</v>
      </c>
      <c r="K1257">
        <v>38846</v>
      </c>
      <c r="L1257">
        <v>5</v>
      </c>
      <c r="M1257" s="1">
        <v>45375</v>
      </c>
    </row>
    <row r="1258" spans="1:13" x14ac:dyDescent="0.35">
      <c r="A1258" t="s">
        <v>1878</v>
      </c>
      <c r="B1258" t="s">
        <v>1879</v>
      </c>
      <c r="C1258" t="s">
        <v>172</v>
      </c>
      <c r="D1258">
        <v>7</v>
      </c>
      <c r="E1258">
        <v>7</v>
      </c>
      <c r="F1258">
        <v>0</v>
      </c>
      <c r="G1258" t="s">
        <v>25</v>
      </c>
      <c r="H1258" t="s">
        <v>99</v>
      </c>
      <c r="I1258" t="s">
        <v>88</v>
      </c>
      <c r="J1258" t="s">
        <v>26</v>
      </c>
      <c r="L1258">
        <v>8</v>
      </c>
      <c r="M1258" s="1">
        <v>45530</v>
      </c>
    </row>
    <row r="1259" spans="1:13" x14ac:dyDescent="0.35">
      <c r="A1259" t="s">
        <v>1880</v>
      </c>
      <c r="B1259" t="s">
        <v>768</v>
      </c>
      <c r="C1259" t="s">
        <v>172</v>
      </c>
      <c r="D1259">
        <v>16</v>
      </c>
      <c r="E1259">
        <v>16</v>
      </c>
      <c r="F1259">
        <v>0</v>
      </c>
      <c r="G1259" t="s">
        <v>14</v>
      </c>
      <c r="H1259" t="s">
        <v>58</v>
      </c>
      <c r="I1259" t="s">
        <v>105</v>
      </c>
      <c r="J1259" t="s">
        <v>16</v>
      </c>
      <c r="L1259">
        <v>9</v>
      </c>
      <c r="M1259" s="1">
        <v>45497</v>
      </c>
    </row>
    <row r="1260" spans="1:13" x14ac:dyDescent="0.35">
      <c r="A1260" t="s">
        <v>1881</v>
      </c>
      <c r="B1260" t="s">
        <v>370</v>
      </c>
      <c r="C1260" t="s">
        <v>117</v>
      </c>
      <c r="D1260">
        <v>41</v>
      </c>
      <c r="E1260">
        <v>41</v>
      </c>
      <c r="F1260">
        <v>0</v>
      </c>
      <c r="G1260" t="s">
        <v>25</v>
      </c>
      <c r="H1260" t="s">
        <v>99</v>
      </c>
      <c r="I1260" t="s">
        <v>15</v>
      </c>
      <c r="J1260" t="s">
        <v>40</v>
      </c>
      <c r="L1260">
        <v>2</v>
      </c>
      <c r="M1260" s="1">
        <v>45393</v>
      </c>
    </row>
    <row r="1261" spans="1:13" x14ac:dyDescent="0.35">
      <c r="A1261" t="s">
        <v>1882</v>
      </c>
      <c r="B1261" t="s">
        <v>1225</v>
      </c>
      <c r="C1261" t="s">
        <v>154</v>
      </c>
      <c r="D1261">
        <v>32</v>
      </c>
      <c r="E1261">
        <v>32</v>
      </c>
      <c r="F1261">
        <v>0</v>
      </c>
      <c r="G1261" t="s">
        <v>14</v>
      </c>
      <c r="H1261" t="s">
        <v>58</v>
      </c>
      <c r="I1261" t="s">
        <v>105</v>
      </c>
      <c r="J1261" t="s">
        <v>37</v>
      </c>
      <c r="K1261">
        <v>46489</v>
      </c>
      <c r="L1261">
        <v>1</v>
      </c>
      <c r="M1261" s="1">
        <v>45514</v>
      </c>
    </row>
    <row r="1262" spans="1:13" x14ac:dyDescent="0.35">
      <c r="A1262" t="s">
        <v>1883</v>
      </c>
      <c r="B1262" t="s">
        <v>1884</v>
      </c>
      <c r="C1262" t="s">
        <v>13</v>
      </c>
      <c r="D1262">
        <v>43</v>
      </c>
      <c r="E1262">
        <v>43</v>
      </c>
      <c r="F1262">
        <v>0</v>
      </c>
      <c r="G1262" t="s">
        <v>25</v>
      </c>
      <c r="H1262" t="s">
        <v>58</v>
      </c>
      <c r="I1262" t="s">
        <v>2154</v>
      </c>
      <c r="J1262" t="s">
        <v>37</v>
      </c>
      <c r="K1262">
        <v>30000</v>
      </c>
      <c r="L1262">
        <v>7</v>
      </c>
      <c r="M1262" s="1">
        <v>45301</v>
      </c>
    </row>
    <row r="1263" spans="1:13" x14ac:dyDescent="0.35">
      <c r="A1263" t="s">
        <v>1885</v>
      </c>
      <c r="B1263" t="s">
        <v>463</v>
      </c>
      <c r="C1263" t="s">
        <v>117</v>
      </c>
      <c r="D1263">
        <v>9</v>
      </c>
      <c r="E1263">
        <v>9</v>
      </c>
      <c r="F1263">
        <v>0</v>
      </c>
      <c r="G1263" t="s">
        <v>14</v>
      </c>
      <c r="H1263" t="s">
        <v>99</v>
      </c>
      <c r="I1263" t="s">
        <v>15</v>
      </c>
      <c r="J1263" t="s">
        <v>26</v>
      </c>
      <c r="L1263">
        <v>9</v>
      </c>
      <c r="M1263" s="1">
        <v>45341</v>
      </c>
    </row>
    <row r="1264" spans="1:13" x14ac:dyDescent="0.35">
      <c r="A1264" t="s">
        <v>1886</v>
      </c>
      <c r="B1264" t="s">
        <v>1481</v>
      </c>
      <c r="C1264" t="s">
        <v>13</v>
      </c>
      <c r="D1264">
        <v>24</v>
      </c>
      <c r="E1264">
        <v>24</v>
      </c>
      <c r="F1264">
        <v>0</v>
      </c>
      <c r="G1264" t="s">
        <v>14</v>
      </c>
      <c r="H1264" t="s">
        <v>19</v>
      </c>
      <c r="I1264" t="s">
        <v>15</v>
      </c>
      <c r="J1264" t="s">
        <v>20</v>
      </c>
      <c r="K1264">
        <v>55092</v>
      </c>
      <c r="L1264">
        <v>8</v>
      </c>
      <c r="M1264" s="1">
        <v>45563</v>
      </c>
    </row>
    <row r="1265" spans="1:13" x14ac:dyDescent="0.35">
      <c r="A1265" t="s">
        <v>1887</v>
      </c>
      <c r="B1265" t="s">
        <v>1888</v>
      </c>
      <c r="C1265" t="s">
        <v>119</v>
      </c>
      <c r="D1265">
        <v>27</v>
      </c>
      <c r="E1265">
        <v>27</v>
      </c>
      <c r="F1265">
        <v>0</v>
      </c>
      <c r="G1265" t="s">
        <v>25</v>
      </c>
      <c r="H1265" t="s">
        <v>58</v>
      </c>
      <c r="I1265" t="s">
        <v>15</v>
      </c>
      <c r="J1265" t="s">
        <v>40</v>
      </c>
      <c r="L1265">
        <v>9</v>
      </c>
      <c r="M1265" s="1">
        <v>45482</v>
      </c>
    </row>
    <row r="1266" spans="1:13" x14ac:dyDescent="0.35">
      <c r="A1266" t="s">
        <v>1889</v>
      </c>
      <c r="B1266" t="s">
        <v>329</v>
      </c>
      <c r="C1266" t="s">
        <v>45</v>
      </c>
      <c r="D1266">
        <v>41</v>
      </c>
      <c r="E1266">
        <v>41</v>
      </c>
      <c r="F1266">
        <v>0</v>
      </c>
      <c r="G1266" t="s">
        <v>14</v>
      </c>
      <c r="H1266" t="s">
        <v>19</v>
      </c>
      <c r="I1266" t="s">
        <v>15</v>
      </c>
      <c r="J1266" t="s">
        <v>20</v>
      </c>
      <c r="K1266">
        <v>122963</v>
      </c>
      <c r="L1266">
        <v>4</v>
      </c>
      <c r="M1266" s="1">
        <v>45491</v>
      </c>
    </row>
    <row r="1267" spans="1:13" x14ac:dyDescent="0.35">
      <c r="A1267" t="s">
        <v>1890</v>
      </c>
      <c r="B1267" t="s">
        <v>822</v>
      </c>
      <c r="C1267" t="s">
        <v>117</v>
      </c>
      <c r="D1267">
        <v>26</v>
      </c>
      <c r="E1267">
        <v>26</v>
      </c>
      <c r="F1267">
        <v>0</v>
      </c>
      <c r="G1267" t="s">
        <v>14</v>
      </c>
      <c r="H1267" t="s">
        <v>32</v>
      </c>
      <c r="I1267" t="s">
        <v>2154</v>
      </c>
      <c r="J1267" t="s">
        <v>37</v>
      </c>
      <c r="K1267">
        <v>30000</v>
      </c>
      <c r="L1267">
        <v>1</v>
      </c>
      <c r="M1267" s="1">
        <v>45494</v>
      </c>
    </row>
    <row r="1268" spans="1:13" x14ac:dyDescent="0.35">
      <c r="A1268" t="s">
        <v>1891</v>
      </c>
      <c r="B1268" t="s">
        <v>1417</v>
      </c>
      <c r="C1268" t="s">
        <v>130</v>
      </c>
      <c r="D1268">
        <v>49</v>
      </c>
      <c r="E1268">
        <v>49</v>
      </c>
      <c r="F1268">
        <v>0</v>
      </c>
      <c r="G1268" t="s">
        <v>14</v>
      </c>
      <c r="H1268" t="s">
        <v>58</v>
      </c>
      <c r="I1268" t="s">
        <v>105</v>
      </c>
      <c r="J1268" t="s">
        <v>40</v>
      </c>
      <c r="L1268">
        <v>6</v>
      </c>
      <c r="M1268" s="1">
        <v>45366</v>
      </c>
    </row>
    <row r="1269" spans="1:13" x14ac:dyDescent="0.35">
      <c r="A1269" t="s">
        <v>1892</v>
      </c>
      <c r="B1269" t="s">
        <v>1578</v>
      </c>
      <c r="C1269" t="s">
        <v>184</v>
      </c>
      <c r="D1269">
        <v>48</v>
      </c>
      <c r="E1269">
        <v>48</v>
      </c>
      <c r="F1269">
        <v>0</v>
      </c>
      <c r="G1269" t="s">
        <v>25</v>
      </c>
      <c r="H1269" t="s">
        <v>32</v>
      </c>
      <c r="I1269" t="s">
        <v>15</v>
      </c>
      <c r="J1269" t="s">
        <v>20</v>
      </c>
      <c r="K1269">
        <v>30830</v>
      </c>
      <c r="L1269">
        <v>5</v>
      </c>
      <c r="M1269" s="1">
        <v>45367</v>
      </c>
    </row>
    <row r="1270" spans="1:13" x14ac:dyDescent="0.35">
      <c r="A1270" t="s">
        <v>1893</v>
      </c>
      <c r="B1270" t="s">
        <v>355</v>
      </c>
      <c r="C1270" t="s">
        <v>130</v>
      </c>
      <c r="D1270">
        <v>23</v>
      </c>
      <c r="E1270">
        <v>23</v>
      </c>
      <c r="F1270">
        <v>0</v>
      </c>
      <c r="G1270" t="s">
        <v>14</v>
      </c>
      <c r="H1270" t="s">
        <v>32</v>
      </c>
      <c r="I1270" t="s">
        <v>2154</v>
      </c>
      <c r="J1270" t="s">
        <v>16</v>
      </c>
      <c r="L1270">
        <v>3</v>
      </c>
      <c r="M1270" s="1">
        <v>45636</v>
      </c>
    </row>
    <row r="1271" spans="1:13" x14ac:dyDescent="0.35">
      <c r="A1271" t="s">
        <v>1894</v>
      </c>
      <c r="B1271" t="s">
        <v>1001</v>
      </c>
      <c r="C1271" t="s">
        <v>29</v>
      </c>
      <c r="D1271">
        <v>18</v>
      </c>
      <c r="E1271">
        <v>18</v>
      </c>
      <c r="F1271">
        <v>0</v>
      </c>
      <c r="G1271" t="s">
        <v>25</v>
      </c>
      <c r="H1271" t="s">
        <v>99</v>
      </c>
      <c r="I1271" t="s">
        <v>15</v>
      </c>
      <c r="J1271" t="s">
        <v>20</v>
      </c>
      <c r="K1271">
        <v>30000</v>
      </c>
      <c r="L1271">
        <v>3</v>
      </c>
      <c r="M1271" s="1">
        <v>45357</v>
      </c>
    </row>
    <row r="1272" spans="1:13" x14ac:dyDescent="0.35">
      <c r="A1272" t="s">
        <v>1895</v>
      </c>
      <c r="B1272" t="s">
        <v>316</v>
      </c>
      <c r="C1272" t="s">
        <v>119</v>
      </c>
      <c r="D1272">
        <v>48</v>
      </c>
      <c r="E1272">
        <v>48</v>
      </c>
      <c r="F1272">
        <v>0</v>
      </c>
      <c r="G1272" t="s">
        <v>14</v>
      </c>
      <c r="H1272" t="s">
        <v>32</v>
      </c>
      <c r="I1272" t="s">
        <v>105</v>
      </c>
      <c r="J1272" t="s">
        <v>26</v>
      </c>
      <c r="L1272">
        <v>1</v>
      </c>
      <c r="M1272" s="1">
        <v>45353</v>
      </c>
    </row>
    <row r="1273" spans="1:13" x14ac:dyDescent="0.35">
      <c r="A1273" t="s">
        <v>1896</v>
      </c>
      <c r="B1273" t="s">
        <v>1897</v>
      </c>
      <c r="C1273" t="s">
        <v>154</v>
      </c>
      <c r="D1273">
        <v>54</v>
      </c>
      <c r="E1273">
        <v>54</v>
      </c>
      <c r="F1273">
        <v>0</v>
      </c>
      <c r="G1273" t="s">
        <v>14</v>
      </c>
      <c r="H1273" t="s">
        <v>99</v>
      </c>
      <c r="I1273" t="s">
        <v>105</v>
      </c>
      <c r="J1273" t="s">
        <v>26</v>
      </c>
      <c r="L1273">
        <v>9</v>
      </c>
      <c r="M1273" s="1">
        <v>45584</v>
      </c>
    </row>
    <row r="1274" spans="1:13" x14ac:dyDescent="0.35">
      <c r="A1274" t="s">
        <v>2203</v>
      </c>
      <c r="B1274" t="s">
        <v>1384</v>
      </c>
      <c r="C1274" t="s">
        <v>29</v>
      </c>
      <c r="D1274">
        <v>26</v>
      </c>
      <c r="E1274">
        <v>26</v>
      </c>
      <c r="F1274">
        <v>0</v>
      </c>
      <c r="G1274" t="s">
        <v>25</v>
      </c>
      <c r="H1274" t="s">
        <v>99</v>
      </c>
      <c r="I1274" t="s">
        <v>88</v>
      </c>
      <c r="J1274" t="s">
        <v>26</v>
      </c>
      <c r="L1274">
        <v>7</v>
      </c>
      <c r="M1274" s="1">
        <v>45373</v>
      </c>
    </row>
    <row r="1275" spans="1:13" x14ac:dyDescent="0.35">
      <c r="A1275" t="s">
        <v>1898</v>
      </c>
      <c r="B1275" t="s">
        <v>1899</v>
      </c>
      <c r="C1275" t="s">
        <v>69</v>
      </c>
      <c r="D1275">
        <v>30</v>
      </c>
      <c r="E1275">
        <v>30</v>
      </c>
      <c r="F1275">
        <v>0</v>
      </c>
      <c r="G1275" t="s">
        <v>25</v>
      </c>
      <c r="H1275" t="s">
        <v>19</v>
      </c>
      <c r="I1275" t="s">
        <v>15</v>
      </c>
      <c r="J1275" t="s">
        <v>37</v>
      </c>
      <c r="K1275">
        <v>87811</v>
      </c>
      <c r="L1275">
        <v>9</v>
      </c>
      <c r="M1275" s="1">
        <v>45538</v>
      </c>
    </row>
    <row r="1276" spans="1:13" x14ac:dyDescent="0.35">
      <c r="A1276" t="s">
        <v>1900</v>
      </c>
      <c r="B1276" t="s">
        <v>1504</v>
      </c>
      <c r="C1276" t="s">
        <v>154</v>
      </c>
      <c r="D1276">
        <v>22</v>
      </c>
      <c r="E1276">
        <v>22</v>
      </c>
      <c r="F1276">
        <v>0</v>
      </c>
      <c r="G1276" t="s">
        <v>25</v>
      </c>
      <c r="H1276" t="s">
        <v>19</v>
      </c>
      <c r="I1276" t="s">
        <v>88</v>
      </c>
      <c r="J1276" t="s">
        <v>16</v>
      </c>
      <c r="L1276">
        <v>2</v>
      </c>
      <c r="M1276" s="1">
        <v>45469</v>
      </c>
    </row>
    <row r="1277" spans="1:13" x14ac:dyDescent="0.35">
      <c r="A1277" t="s">
        <v>1901</v>
      </c>
      <c r="B1277" t="s">
        <v>1902</v>
      </c>
      <c r="C1277" t="s">
        <v>184</v>
      </c>
      <c r="D1277">
        <v>36</v>
      </c>
      <c r="E1277">
        <v>36</v>
      </c>
      <c r="F1277">
        <v>0</v>
      </c>
      <c r="G1277" t="s">
        <v>25</v>
      </c>
      <c r="H1277" t="s">
        <v>32</v>
      </c>
      <c r="I1277" t="s">
        <v>88</v>
      </c>
      <c r="J1277" t="s">
        <v>20</v>
      </c>
      <c r="K1277">
        <v>138622</v>
      </c>
      <c r="L1277">
        <v>7</v>
      </c>
      <c r="M1277" s="1">
        <v>45323</v>
      </c>
    </row>
    <row r="1278" spans="1:13" x14ac:dyDescent="0.35">
      <c r="A1278" t="s">
        <v>1903</v>
      </c>
      <c r="B1278" t="s">
        <v>576</v>
      </c>
      <c r="C1278" t="s">
        <v>69</v>
      </c>
      <c r="D1278">
        <v>56</v>
      </c>
      <c r="E1278">
        <v>56</v>
      </c>
      <c r="F1278">
        <v>0</v>
      </c>
      <c r="G1278" t="s">
        <v>14</v>
      </c>
      <c r="H1278" t="s">
        <v>19</v>
      </c>
      <c r="I1278" t="s">
        <v>15</v>
      </c>
      <c r="J1278" t="s">
        <v>16</v>
      </c>
      <c r="L1278">
        <v>9</v>
      </c>
      <c r="M1278" s="1">
        <v>45369</v>
      </c>
    </row>
    <row r="1279" spans="1:13" x14ac:dyDescent="0.35">
      <c r="A1279" t="s">
        <v>1904</v>
      </c>
      <c r="B1279" t="s">
        <v>723</v>
      </c>
      <c r="C1279" t="s">
        <v>29</v>
      </c>
      <c r="D1279">
        <v>63</v>
      </c>
      <c r="E1279">
        <v>63</v>
      </c>
      <c r="F1279">
        <v>0</v>
      </c>
      <c r="G1279" t="s">
        <v>25</v>
      </c>
      <c r="H1279" t="s">
        <v>32</v>
      </c>
      <c r="I1279" t="s">
        <v>2154</v>
      </c>
      <c r="J1279" t="s">
        <v>37</v>
      </c>
      <c r="K1279">
        <v>50069</v>
      </c>
      <c r="L1279">
        <v>2</v>
      </c>
      <c r="M1279" s="1">
        <v>45348</v>
      </c>
    </row>
    <row r="1280" spans="1:13" x14ac:dyDescent="0.35">
      <c r="A1280" t="s">
        <v>1905</v>
      </c>
      <c r="B1280" t="s">
        <v>985</v>
      </c>
      <c r="C1280" t="s">
        <v>130</v>
      </c>
      <c r="D1280">
        <v>65</v>
      </c>
      <c r="E1280">
        <v>65</v>
      </c>
      <c r="F1280">
        <v>0</v>
      </c>
      <c r="G1280" t="s">
        <v>14</v>
      </c>
      <c r="H1280" t="s">
        <v>99</v>
      </c>
      <c r="I1280" t="s">
        <v>88</v>
      </c>
      <c r="J1280" t="s">
        <v>40</v>
      </c>
      <c r="L1280">
        <v>6</v>
      </c>
      <c r="M1280" s="1">
        <v>45463</v>
      </c>
    </row>
    <row r="1281" spans="1:13" x14ac:dyDescent="0.35">
      <c r="A1281" t="s">
        <v>1906</v>
      </c>
      <c r="B1281" t="s">
        <v>1434</v>
      </c>
      <c r="C1281" t="s">
        <v>69</v>
      </c>
      <c r="D1281">
        <v>21</v>
      </c>
      <c r="E1281">
        <v>21</v>
      </c>
      <c r="F1281">
        <v>0</v>
      </c>
      <c r="G1281" t="s">
        <v>25</v>
      </c>
      <c r="H1281" t="s">
        <v>99</v>
      </c>
      <c r="I1281" t="s">
        <v>15</v>
      </c>
      <c r="J1281" t="s">
        <v>37</v>
      </c>
      <c r="K1281">
        <v>180333</v>
      </c>
      <c r="L1281">
        <v>6</v>
      </c>
      <c r="M1281" s="1">
        <v>45591</v>
      </c>
    </row>
    <row r="1282" spans="1:13" x14ac:dyDescent="0.35">
      <c r="A1282" t="s">
        <v>1907</v>
      </c>
      <c r="B1282" t="s">
        <v>183</v>
      </c>
      <c r="C1282" t="s">
        <v>154</v>
      </c>
      <c r="D1282">
        <v>32</v>
      </c>
      <c r="E1282">
        <v>32</v>
      </c>
      <c r="F1282">
        <v>0</v>
      </c>
      <c r="G1282" t="s">
        <v>14</v>
      </c>
      <c r="H1282" t="s">
        <v>99</v>
      </c>
      <c r="I1282" t="s">
        <v>88</v>
      </c>
      <c r="J1282" t="s">
        <v>20</v>
      </c>
      <c r="K1282">
        <v>30000</v>
      </c>
      <c r="L1282">
        <v>9</v>
      </c>
      <c r="M1282" s="1">
        <v>45466</v>
      </c>
    </row>
    <row r="1283" spans="1:13" x14ac:dyDescent="0.35">
      <c r="A1283" t="s">
        <v>1908</v>
      </c>
      <c r="B1283" t="s">
        <v>1452</v>
      </c>
      <c r="C1283" t="s">
        <v>130</v>
      </c>
      <c r="D1283">
        <v>41</v>
      </c>
      <c r="E1283">
        <v>41</v>
      </c>
      <c r="F1283">
        <v>0</v>
      </c>
      <c r="G1283" t="s">
        <v>25</v>
      </c>
      <c r="H1283" t="s">
        <v>32</v>
      </c>
      <c r="I1283" t="s">
        <v>88</v>
      </c>
      <c r="J1283" t="s">
        <v>37</v>
      </c>
      <c r="K1283">
        <v>75129</v>
      </c>
      <c r="L1283">
        <v>1</v>
      </c>
      <c r="M1283" s="1">
        <v>45509</v>
      </c>
    </row>
    <row r="1284" spans="1:13" x14ac:dyDescent="0.35">
      <c r="A1284" t="s">
        <v>1909</v>
      </c>
      <c r="B1284" t="s">
        <v>68</v>
      </c>
      <c r="C1284" t="s">
        <v>13</v>
      </c>
      <c r="D1284">
        <v>20</v>
      </c>
      <c r="E1284">
        <v>20</v>
      </c>
      <c r="F1284">
        <v>0</v>
      </c>
      <c r="G1284" t="s">
        <v>14</v>
      </c>
      <c r="H1284" t="s">
        <v>58</v>
      </c>
      <c r="I1284" t="s">
        <v>15</v>
      </c>
      <c r="J1284" t="s">
        <v>40</v>
      </c>
      <c r="L1284">
        <v>5</v>
      </c>
      <c r="M1284" s="1">
        <v>45577</v>
      </c>
    </row>
    <row r="1285" spans="1:13" x14ac:dyDescent="0.35">
      <c r="A1285" t="s">
        <v>1910</v>
      </c>
      <c r="B1285" t="s">
        <v>935</v>
      </c>
      <c r="C1285" t="s">
        <v>130</v>
      </c>
      <c r="D1285">
        <v>37</v>
      </c>
      <c r="E1285">
        <v>37</v>
      </c>
      <c r="F1285">
        <v>0</v>
      </c>
      <c r="G1285" t="s">
        <v>25</v>
      </c>
      <c r="H1285" t="s">
        <v>99</v>
      </c>
      <c r="I1285" t="s">
        <v>88</v>
      </c>
      <c r="J1285" t="s">
        <v>37</v>
      </c>
      <c r="K1285">
        <v>126307</v>
      </c>
      <c r="L1285">
        <v>7</v>
      </c>
      <c r="M1285" s="1">
        <v>45359</v>
      </c>
    </row>
    <row r="1286" spans="1:13" x14ac:dyDescent="0.35">
      <c r="A1286" t="s">
        <v>1911</v>
      </c>
      <c r="B1286" t="s">
        <v>1912</v>
      </c>
      <c r="C1286" t="s">
        <v>154</v>
      </c>
      <c r="D1286">
        <v>40</v>
      </c>
      <c r="E1286">
        <v>40</v>
      </c>
      <c r="F1286">
        <v>0</v>
      </c>
      <c r="G1286" t="s">
        <v>25</v>
      </c>
      <c r="H1286" t="s">
        <v>32</v>
      </c>
      <c r="I1286" t="s">
        <v>15</v>
      </c>
      <c r="J1286" t="s">
        <v>16</v>
      </c>
      <c r="L1286">
        <v>7</v>
      </c>
      <c r="M1286" s="1">
        <v>45440</v>
      </c>
    </row>
    <row r="1287" spans="1:13" x14ac:dyDescent="0.35">
      <c r="A1287" t="s">
        <v>1913</v>
      </c>
      <c r="B1287" t="s">
        <v>1316</v>
      </c>
      <c r="C1287" t="s">
        <v>119</v>
      </c>
      <c r="D1287">
        <v>26</v>
      </c>
      <c r="E1287">
        <v>26</v>
      </c>
      <c r="F1287">
        <v>0</v>
      </c>
      <c r="G1287" t="s">
        <v>25</v>
      </c>
      <c r="H1287" t="s">
        <v>32</v>
      </c>
      <c r="I1287" t="s">
        <v>2153</v>
      </c>
      <c r="J1287" t="s">
        <v>20</v>
      </c>
      <c r="K1287">
        <v>40448</v>
      </c>
      <c r="L1287">
        <v>3</v>
      </c>
      <c r="M1287" s="1">
        <v>45557</v>
      </c>
    </row>
    <row r="1288" spans="1:13" x14ac:dyDescent="0.35">
      <c r="A1288" t="s">
        <v>1914</v>
      </c>
      <c r="B1288" t="s">
        <v>991</v>
      </c>
      <c r="C1288" t="s">
        <v>154</v>
      </c>
      <c r="D1288">
        <v>25</v>
      </c>
      <c r="E1288">
        <v>25</v>
      </c>
      <c r="F1288">
        <v>0</v>
      </c>
      <c r="G1288" t="s">
        <v>25</v>
      </c>
      <c r="H1288" t="s">
        <v>32</v>
      </c>
      <c r="I1288" t="s">
        <v>105</v>
      </c>
      <c r="J1288" t="s">
        <v>40</v>
      </c>
      <c r="L1288">
        <v>2</v>
      </c>
      <c r="M1288" s="1">
        <v>45449</v>
      </c>
    </row>
    <row r="1289" spans="1:13" x14ac:dyDescent="0.35">
      <c r="A1289" t="s">
        <v>1915</v>
      </c>
      <c r="B1289" t="s">
        <v>1916</v>
      </c>
      <c r="C1289" t="s">
        <v>119</v>
      </c>
      <c r="D1289">
        <v>66</v>
      </c>
      <c r="E1289">
        <v>66</v>
      </c>
      <c r="F1289">
        <v>0</v>
      </c>
      <c r="G1289" t="s">
        <v>25</v>
      </c>
      <c r="H1289" t="s">
        <v>58</v>
      </c>
      <c r="I1289" t="s">
        <v>15</v>
      </c>
      <c r="J1289" t="s">
        <v>20</v>
      </c>
      <c r="K1289">
        <v>30000</v>
      </c>
      <c r="L1289">
        <v>5</v>
      </c>
      <c r="M1289" s="1">
        <v>45405</v>
      </c>
    </row>
    <row r="1290" spans="1:13" x14ac:dyDescent="0.35">
      <c r="A1290" t="s">
        <v>1917</v>
      </c>
      <c r="B1290" t="s">
        <v>1918</v>
      </c>
      <c r="C1290" t="s">
        <v>184</v>
      </c>
      <c r="D1290">
        <v>35</v>
      </c>
      <c r="F1290">
        <v>1</v>
      </c>
      <c r="G1290" t="s">
        <v>25</v>
      </c>
      <c r="H1290" t="s">
        <v>58</v>
      </c>
      <c r="I1290" t="s">
        <v>105</v>
      </c>
      <c r="J1290" t="s">
        <v>37</v>
      </c>
      <c r="K1290">
        <v>86844</v>
      </c>
      <c r="L1290">
        <v>8</v>
      </c>
      <c r="M1290" s="1">
        <v>45337</v>
      </c>
    </row>
    <row r="1291" spans="1:13" x14ac:dyDescent="0.35">
      <c r="A1291" t="s">
        <v>1919</v>
      </c>
      <c r="B1291" t="s">
        <v>1920</v>
      </c>
      <c r="C1291" t="s">
        <v>119</v>
      </c>
      <c r="D1291">
        <v>45</v>
      </c>
      <c r="E1291">
        <v>45</v>
      </c>
      <c r="F1291">
        <v>0</v>
      </c>
      <c r="G1291" t="s">
        <v>14</v>
      </c>
      <c r="H1291" t="s">
        <v>58</v>
      </c>
      <c r="I1291" t="s">
        <v>15</v>
      </c>
      <c r="J1291" t="s">
        <v>40</v>
      </c>
      <c r="L1291">
        <v>7</v>
      </c>
      <c r="M1291" s="1">
        <v>45469</v>
      </c>
    </row>
    <row r="1292" spans="1:13" x14ac:dyDescent="0.35">
      <c r="A1292" t="s">
        <v>1921</v>
      </c>
      <c r="B1292" t="s">
        <v>916</v>
      </c>
      <c r="C1292" t="s">
        <v>172</v>
      </c>
      <c r="D1292">
        <v>37</v>
      </c>
      <c r="E1292">
        <v>37</v>
      </c>
      <c r="F1292">
        <v>0</v>
      </c>
      <c r="G1292" t="s">
        <v>14</v>
      </c>
      <c r="H1292" t="s">
        <v>58</v>
      </c>
      <c r="I1292" t="s">
        <v>105</v>
      </c>
      <c r="J1292" t="s">
        <v>20</v>
      </c>
      <c r="K1292">
        <v>56782</v>
      </c>
      <c r="L1292">
        <v>9</v>
      </c>
      <c r="M1292" s="1">
        <v>45422</v>
      </c>
    </row>
    <row r="1293" spans="1:13" x14ac:dyDescent="0.35">
      <c r="A1293" t="s">
        <v>2204</v>
      </c>
      <c r="B1293" t="s">
        <v>1077</v>
      </c>
      <c r="C1293" t="s">
        <v>13</v>
      </c>
      <c r="D1293">
        <v>34</v>
      </c>
      <c r="E1293">
        <v>34</v>
      </c>
      <c r="F1293">
        <v>0</v>
      </c>
      <c r="G1293" t="s">
        <v>25</v>
      </c>
      <c r="H1293" t="s">
        <v>19</v>
      </c>
      <c r="I1293" t="s">
        <v>105</v>
      </c>
      <c r="J1293" t="s">
        <v>16</v>
      </c>
      <c r="L1293">
        <v>8</v>
      </c>
      <c r="M1293" s="1">
        <v>45488</v>
      </c>
    </row>
    <row r="1294" spans="1:13" x14ac:dyDescent="0.35">
      <c r="A1294" t="s">
        <v>1922</v>
      </c>
      <c r="B1294" t="s">
        <v>323</v>
      </c>
      <c r="C1294" t="s">
        <v>154</v>
      </c>
      <c r="D1294">
        <v>28</v>
      </c>
      <c r="E1294">
        <v>28</v>
      </c>
      <c r="F1294">
        <v>0</v>
      </c>
      <c r="G1294" t="s">
        <v>25</v>
      </c>
      <c r="H1294" t="s">
        <v>99</v>
      </c>
      <c r="I1294" t="s">
        <v>105</v>
      </c>
      <c r="J1294" t="s">
        <v>26</v>
      </c>
      <c r="L1294">
        <v>5</v>
      </c>
      <c r="M1294" s="1">
        <v>45519</v>
      </c>
    </row>
    <row r="1295" spans="1:13" x14ac:dyDescent="0.35">
      <c r="A1295" t="s">
        <v>1923</v>
      </c>
      <c r="B1295" t="s">
        <v>1313</v>
      </c>
      <c r="C1295" t="s">
        <v>117</v>
      </c>
      <c r="D1295">
        <v>35</v>
      </c>
      <c r="F1295">
        <v>1</v>
      </c>
      <c r="G1295" t="s">
        <v>25</v>
      </c>
      <c r="H1295" t="s">
        <v>19</v>
      </c>
      <c r="I1295" t="s">
        <v>105</v>
      </c>
      <c r="J1295" t="s">
        <v>37</v>
      </c>
      <c r="K1295">
        <v>30000</v>
      </c>
      <c r="L1295">
        <v>5</v>
      </c>
      <c r="M1295" s="1">
        <v>45431</v>
      </c>
    </row>
    <row r="1296" spans="1:13" x14ac:dyDescent="0.35">
      <c r="A1296" t="s">
        <v>1924</v>
      </c>
      <c r="B1296" t="s">
        <v>727</v>
      </c>
      <c r="C1296" t="s">
        <v>154</v>
      </c>
      <c r="D1296">
        <v>26</v>
      </c>
      <c r="E1296">
        <v>26</v>
      </c>
      <c r="F1296">
        <v>0</v>
      </c>
      <c r="G1296" t="s">
        <v>25</v>
      </c>
      <c r="H1296" t="s">
        <v>99</v>
      </c>
      <c r="I1296" t="s">
        <v>15</v>
      </c>
      <c r="J1296" t="s">
        <v>20</v>
      </c>
      <c r="K1296">
        <v>65341</v>
      </c>
      <c r="L1296">
        <v>9</v>
      </c>
      <c r="M1296" s="1">
        <v>45478</v>
      </c>
    </row>
    <row r="1297" spans="1:13" x14ac:dyDescent="0.35">
      <c r="A1297" t="s">
        <v>1925</v>
      </c>
      <c r="B1297" t="s">
        <v>428</v>
      </c>
      <c r="C1297" t="s">
        <v>13</v>
      </c>
      <c r="D1297">
        <v>53</v>
      </c>
      <c r="E1297">
        <v>53</v>
      </c>
      <c r="F1297">
        <v>0</v>
      </c>
      <c r="G1297" t="s">
        <v>25</v>
      </c>
      <c r="H1297" t="s">
        <v>19</v>
      </c>
      <c r="I1297" t="s">
        <v>2153</v>
      </c>
      <c r="J1297" t="s">
        <v>40</v>
      </c>
      <c r="L1297">
        <v>3</v>
      </c>
      <c r="M1297" s="1">
        <v>45587</v>
      </c>
    </row>
    <row r="1298" spans="1:13" x14ac:dyDescent="0.35">
      <c r="A1298" t="s">
        <v>1926</v>
      </c>
      <c r="B1298" t="s">
        <v>218</v>
      </c>
      <c r="C1298" t="s">
        <v>184</v>
      </c>
      <c r="D1298">
        <v>49</v>
      </c>
      <c r="E1298">
        <v>49</v>
      </c>
      <c r="F1298">
        <v>0</v>
      </c>
      <c r="G1298" t="s">
        <v>14</v>
      </c>
      <c r="H1298" t="s">
        <v>99</v>
      </c>
      <c r="I1298" t="s">
        <v>15</v>
      </c>
      <c r="J1298" t="s">
        <v>16</v>
      </c>
      <c r="L1298">
        <v>2</v>
      </c>
      <c r="M1298" s="1">
        <v>45582</v>
      </c>
    </row>
    <row r="1299" spans="1:13" x14ac:dyDescent="0.35">
      <c r="A1299" t="s">
        <v>1927</v>
      </c>
      <c r="B1299" t="s">
        <v>998</v>
      </c>
      <c r="C1299" t="s">
        <v>69</v>
      </c>
      <c r="D1299">
        <v>30</v>
      </c>
      <c r="E1299">
        <v>30</v>
      </c>
      <c r="F1299">
        <v>0</v>
      </c>
      <c r="G1299" t="s">
        <v>14</v>
      </c>
      <c r="H1299" t="s">
        <v>19</v>
      </c>
      <c r="I1299" t="s">
        <v>88</v>
      </c>
      <c r="J1299" t="s">
        <v>37</v>
      </c>
      <c r="K1299">
        <v>94775</v>
      </c>
      <c r="L1299">
        <v>6</v>
      </c>
      <c r="M1299" s="1">
        <v>45578</v>
      </c>
    </row>
    <row r="1300" spans="1:13" x14ac:dyDescent="0.35">
      <c r="A1300" t="s">
        <v>1928</v>
      </c>
      <c r="B1300" t="s">
        <v>1929</v>
      </c>
      <c r="C1300" t="s">
        <v>130</v>
      </c>
      <c r="D1300">
        <v>24</v>
      </c>
      <c r="E1300">
        <v>24</v>
      </c>
      <c r="F1300">
        <v>0</v>
      </c>
      <c r="G1300" t="s">
        <v>25</v>
      </c>
      <c r="H1300" t="s">
        <v>99</v>
      </c>
      <c r="I1300" t="s">
        <v>15</v>
      </c>
      <c r="J1300" t="s">
        <v>16</v>
      </c>
      <c r="L1300">
        <v>8</v>
      </c>
      <c r="M1300" s="1">
        <v>45391</v>
      </c>
    </row>
    <row r="1301" spans="1:13" x14ac:dyDescent="0.35">
      <c r="A1301" t="s">
        <v>1930</v>
      </c>
      <c r="B1301" t="s">
        <v>513</v>
      </c>
      <c r="C1301" t="s">
        <v>154</v>
      </c>
      <c r="D1301">
        <v>56</v>
      </c>
      <c r="E1301">
        <v>56</v>
      </c>
      <c r="F1301">
        <v>0</v>
      </c>
      <c r="G1301" t="s">
        <v>14</v>
      </c>
      <c r="H1301" t="s">
        <v>99</v>
      </c>
      <c r="I1301" t="s">
        <v>15</v>
      </c>
      <c r="J1301" t="s">
        <v>16</v>
      </c>
      <c r="L1301">
        <v>3</v>
      </c>
      <c r="M1301" s="1">
        <v>45541</v>
      </c>
    </row>
    <row r="1302" spans="1:13" x14ac:dyDescent="0.35">
      <c r="A1302" t="s">
        <v>1931</v>
      </c>
      <c r="B1302" t="s">
        <v>1856</v>
      </c>
      <c r="C1302" t="s">
        <v>69</v>
      </c>
      <c r="D1302">
        <v>41</v>
      </c>
      <c r="E1302">
        <v>41</v>
      </c>
      <c r="F1302">
        <v>0</v>
      </c>
      <c r="G1302" t="s">
        <v>14</v>
      </c>
      <c r="H1302" t="s">
        <v>99</v>
      </c>
      <c r="I1302" t="s">
        <v>105</v>
      </c>
      <c r="J1302" t="s">
        <v>26</v>
      </c>
      <c r="L1302">
        <v>2</v>
      </c>
      <c r="M1302" s="1">
        <v>45318</v>
      </c>
    </row>
    <row r="1303" spans="1:13" x14ac:dyDescent="0.35">
      <c r="A1303" t="s">
        <v>1932</v>
      </c>
      <c r="B1303" t="s">
        <v>890</v>
      </c>
      <c r="C1303" t="s">
        <v>69</v>
      </c>
      <c r="D1303">
        <v>62</v>
      </c>
      <c r="E1303">
        <v>62</v>
      </c>
      <c r="F1303">
        <v>0</v>
      </c>
      <c r="G1303" t="s">
        <v>25</v>
      </c>
      <c r="H1303" t="s">
        <v>32</v>
      </c>
      <c r="I1303" t="s">
        <v>105</v>
      </c>
      <c r="J1303" t="s">
        <v>40</v>
      </c>
      <c r="L1303">
        <v>1</v>
      </c>
      <c r="M1303" s="1">
        <v>45470</v>
      </c>
    </row>
    <row r="1304" spans="1:13" x14ac:dyDescent="0.35">
      <c r="A1304" t="s">
        <v>1933</v>
      </c>
      <c r="B1304" t="s">
        <v>1183</v>
      </c>
      <c r="C1304" t="s">
        <v>172</v>
      </c>
      <c r="D1304">
        <v>30</v>
      </c>
      <c r="E1304">
        <v>30</v>
      </c>
      <c r="F1304">
        <v>0</v>
      </c>
      <c r="G1304" t="s">
        <v>14</v>
      </c>
      <c r="H1304" t="s">
        <v>19</v>
      </c>
      <c r="I1304" t="s">
        <v>2153</v>
      </c>
      <c r="J1304" t="s">
        <v>16</v>
      </c>
      <c r="L1304">
        <v>3</v>
      </c>
      <c r="M1304" s="1">
        <v>45453</v>
      </c>
    </row>
    <row r="1305" spans="1:13" x14ac:dyDescent="0.35">
      <c r="A1305" t="s">
        <v>1934</v>
      </c>
      <c r="B1305" t="s">
        <v>1935</v>
      </c>
      <c r="C1305" t="s">
        <v>130</v>
      </c>
      <c r="D1305">
        <v>46</v>
      </c>
      <c r="E1305">
        <v>46</v>
      </c>
      <c r="F1305">
        <v>0</v>
      </c>
      <c r="G1305" t="s">
        <v>25</v>
      </c>
      <c r="H1305" t="s">
        <v>19</v>
      </c>
      <c r="I1305" t="s">
        <v>15</v>
      </c>
      <c r="J1305" t="s">
        <v>16</v>
      </c>
      <c r="L1305">
        <v>8</v>
      </c>
      <c r="M1305" s="1">
        <v>45410</v>
      </c>
    </row>
    <row r="1306" spans="1:13" x14ac:dyDescent="0.35">
      <c r="A1306" t="s">
        <v>1936</v>
      </c>
      <c r="B1306" t="s">
        <v>233</v>
      </c>
      <c r="C1306" t="s">
        <v>154</v>
      </c>
      <c r="D1306">
        <v>48</v>
      </c>
      <c r="E1306">
        <v>48</v>
      </c>
      <c r="F1306">
        <v>0</v>
      </c>
      <c r="G1306" t="s">
        <v>25</v>
      </c>
      <c r="H1306" t="s">
        <v>99</v>
      </c>
      <c r="I1306" t="s">
        <v>88</v>
      </c>
      <c r="J1306" t="s">
        <v>40</v>
      </c>
      <c r="L1306">
        <v>5</v>
      </c>
      <c r="M1306" s="1">
        <v>45560</v>
      </c>
    </row>
    <row r="1307" spans="1:13" x14ac:dyDescent="0.35">
      <c r="A1307" t="s">
        <v>1937</v>
      </c>
      <c r="B1307" t="s">
        <v>2205</v>
      </c>
      <c r="C1307" t="s">
        <v>184</v>
      </c>
      <c r="D1307">
        <v>35</v>
      </c>
      <c r="E1307">
        <v>35</v>
      </c>
      <c r="F1307">
        <v>0</v>
      </c>
      <c r="G1307" t="s">
        <v>25</v>
      </c>
      <c r="H1307" t="s">
        <v>99</v>
      </c>
      <c r="I1307" t="s">
        <v>105</v>
      </c>
      <c r="J1307" t="s">
        <v>20</v>
      </c>
      <c r="K1307">
        <v>68247</v>
      </c>
      <c r="L1307">
        <v>9</v>
      </c>
      <c r="M1307" s="1">
        <v>45576</v>
      </c>
    </row>
    <row r="1308" spans="1:13" x14ac:dyDescent="0.35">
      <c r="A1308" t="s">
        <v>1938</v>
      </c>
      <c r="B1308" t="s">
        <v>160</v>
      </c>
      <c r="C1308" t="s">
        <v>69</v>
      </c>
      <c r="D1308">
        <v>44</v>
      </c>
      <c r="E1308">
        <v>44</v>
      </c>
      <c r="F1308">
        <v>0</v>
      </c>
      <c r="G1308" t="s">
        <v>25</v>
      </c>
      <c r="H1308" t="s">
        <v>99</v>
      </c>
      <c r="I1308" t="s">
        <v>2153</v>
      </c>
      <c r="J1308" t="s">
        <v>40</v>
      </c>
      <c r="L1308">
        <v>9</v>
      </c>
      <c r="M1308" s="1">
        <v>45566</v>
      </c>
    </row>
    <row r="1309" spans="1:13" x14ac:dyDescent="0.35">
      <c r="A1309" t="s">
        <v>1939</v>
      </c>
      <c r="B1309" t="s">
        <v>766</v>
      </c>
      <c r="C1309" t="s">
        <v>172</v>
      </c>
      <c r="D1309">
        <v>38</v>
      </c>
      <c r="E1309">
        <v>38</v>
      </c>
      <c r="F1309">
        <v>0</v>
      </c>
      <c r="G1309" t="s">
        <v>14</v>
      </c>
      <c r="H1309" t="s">
        <v>19</v>
      </c>
      <c r="I1309" t="s">
        <v>88</v>
      </c>
      <c r="J1309" t="s">
        <v>26</v>
      </c>
      <c r="L1309">
        <v>8</v>
      </c>
      <c r="M1309" s="1">
        <v>45461</v>
      </c>
    </row>
    <row r="1310" spans="1:13" x14ac:dyDescent="0.35">
      <c r="A1310" t="s">
        <v>1940</v>
      </c>
      <c r="B1310" t="s">
        <v>477</v>
      </c>
      <c r="C1310" t="s">
        <v>29</v>
      </c>
      <c r="D1310">
        <v>48</v>
      </c>
      <c r="E1310">
        <v>48</v>
      </c>
      <c r="F1310">
        <v>0</v>
      </c>
      <c r="G1310" t="s">
        <v>25</v>
      </c>
      <c r="H1310" t="s">
        <v>58</v>
      </c>
      <c r="I1310" t="s">
        <v>15</v>
      </c>
      <c r="J1310" t="s">
        <v>40</v>
      </c>
      <c r="L1310">
        <v>1</v>
      </c>
      <c r="M1310" s="1">
        <v>45569</v>
      </c>
    </row>
    <row r="1311" spans="1:13" x14ac:dyDescent="0.35">
      <c r="A1311" t="s">
        <v>1941</v>
      </c>
      <c r="B1311" t="s">
        <v>1425</v>
      </c>
      <c r="C1311" t="s">
        <v>69</v>
      </c>
      <c r="D1311">
        <v>33</v>
      </c>
      <c r="E1311">
        <v>33</v>
      </c>
      <c r="F1311">
        <v>0</v>
      </c>
      <c r="G1311" t="s">
        <v>25</v>
      </c>
      <c r="H1311" t="s">
        <v>19</v>
      </c>
      <c r="I1311" t="s">
        <v>15</v>
      </c>
      <c r="J1311" t="s">
        <v>16</v>
      </c>
      <c r="L1311">
        <v>1</v>
      </c>
      <c r="M1311" s="1">
        <v>45557</v>
      </c>
    </row>
    <row r="1312" spans="1:13" x14ac:dyDescent="0.35">
      <c r="A1312" t="s">
        <v>1942</v>
      </c>
      <c r="B1312" t="s">
        <v>723</v>
      </c>
      <c r="C1312" t="s">
        <v>184</v>
      </c>
      <c r="D1312">
        <v>45</v>
      </c>
      <c r="E1312">
        <v>45</v>
      </c>
      <c r="F1312">
        <v>0</v>
      </c>
      <c r="G1312" t="s">
        <v>25</v>
      </c>
      <c r="H1312" t="s">
        <v>32</v>
      </c>
      <c r="I1312" t="s">
        <v>2153</v>
      </c>
      <c r="J1312" t="s">
        <v>37</v>
      </c>
      <c r="K1312">
        <v>70701</v>
      </c>
      <c r="L1312">
        <v>4</v>
      </c>
      <c r="M1312" s="1">
        <v>45480</v>
      </c>
    </row>
    <row r="1313" spans="1:13" x14ac:dyDescent="0.35">
      <c r="A1313" t="s">
        <v>1943</v>
      </c>
      <c r="B1313" t="s">
        <v>1944</v>
      </c>
      <c r="C1313" t="s">
        <v>13</v>
      </c>
      <c r="D1313">
        <v>46</v>
      </c>
      <c r="E1313">
        <v>46</v>
      </c>
      <c r="F1313">
        <v>0</v>
      </c>
      <c r="G1313" t="s">
        <v>25</v>
      </c>
      <c r="H1313" t="s">
        <v>58</v>
      </c>
      <c r="I1313" t="s">
        <v>105</v>
      </c>
      <c r="J1313" t="s">
        <v>26</v>
      </c>
      <c r="L1313">
        <v>3</v>
      </c>
      <c r="M1313" s="1">
        <v>45559</v>
      </c>
    </row>
    <row r="1314" spans="1:13" x14ac:dyDescent="0.35">
      <c r="A1314" t="s">
        <v>1945</v>
      </c>
      <c r="B1314" t="s">
        <v>1946</v>
      </c>
      <c r="C1314" t="s">
        <v>184</v>
      </c>
      <c r="D1314">
        <v>33</v>
      </c>
      <c r="E1314">
        <v>33</v>
      </c>
      <c r="F1314">
        <v>0</v>
      </c>
      <c r="G1314" t="s">
        <v>25</v>
      </c>
      <c r="H1314" t="s">
        <v>32</v>
      </c>
      <c r="I1314" t="s">
        <v>15</v>
      </c>
      <c r="J1314" t="s">
        <v>37</v>
      </c>
      <c r="K1314">
        <v>96339</v>
      </c>
      <c r="L1314">
        <v>7</v>
      </c>
      <c r="M1314" s="1">
        <v>45496</v>
      </c>
    </row>
    <row r="1315" spans="1:13" x14ac:dyDescent="0.35">
      <c r="A1315" t="s">
        <v>1947</v>
      </c>
      <c r="B1315" t="s">
        <v>188</v>
      </c>
      <c r="C1315" t="s">
        <v>69</v>
      </c>
      <c r="D1315">
        <v>4</v>
      </c>
      <c r="E1315">
        <v>4</v>
      </c>
      <c r="F1315">
        <v>0</v>
      </c>
      <c r="G1315" t="s">
        <v>14</v>
      </c>
      <c r="H1315" t="s">
        <v>99</v>
      </c>
      <c r="I1315" t="s">
        <v>88</v>
      </c>
      <c r="J1315" t="s">
        <v>26</v>
      </c>
      <c r="L1315">
        <v>8</v>
      </c>
      <c r="M1315" s="1">
        <v>45397</v>
      </c>
    </row>
    <row r="1316" spans="1:13" x14ac:dyDescent="0.35">
      <c r="A1316" t="s">
        <v>1948</v>
      </c>
      <c r="B1316" t="s">
        <v>1949</v>
      </c>
      <c r="C1316" t="s">
        <v>172</v>
      </c>
      <c r="D1316">
        <v>35</v>
      </c>
      <c r="E1316">
        <v>35</v>
      </c>
      <c r="F1316">
        <v>0</v>
      </c>
      <c r="G1316" t="s">
        <v>25</v>
      </c>
      <c r="H1316" t="s">
        <v>99</v>
      </c>
      <c r="I1316" t="s">
        <v>2153</v>
      </c>
      <c r="J1316" t="s">
        <v>26</v>
      </c>
      <c r="L1316">
        <v>6</v>
      </c>
      <c r="M1316" s="1">
        <v>45506</v>
      </c>
    </row>
    <row r="1317" spans="1:13" x14ac:dyDescent="0.35">
      <c r="A1317" t="s">
        <v>1950</v>
      </c>
      <c r="B1317" t="s">
        <v>694</v>
      </c>
      <c r="C1317" t="s">
        <v>184</v>
      </c>
      <c r="D1317">
        <v>30</v>
      </c>
      <c r="E1317">
        <v>30</v>
      </c>
      <c r="F1317">
        <v>0</v>
      </c>
      <c r="G1317" t="s">
        <v>25</v>
      </c>
      <c r="H1317" t="s">
        <v>32</v>
      </c>
      <c r="I1317" t="s">
        <v>15</v>
      </c>
      <c r="J1317" t="s">
        <v>20</v>
      </c>
      <c r="K1317">
        <v>30000</v>
      </c>
      <c r="L1317">
        <v>8</v>
      </c>
      <c r="M1317" s="1">
        <v>45582</v>
      </c>
    </row>
    <row r="1318" spans="1:13" x14ac:dyDescent="0.35">
      <c r="A1318" t="s">
        <v>1951</v>
      </c>
      <c r="B1318" t="s">
        <v>1802</v>
      </c>
      <c r="C1318" t="s">
        <v>13</v>
      </c>
      <c r="D1318">
        <v>68</v>
      </c>
      <c r="E1318">
        <v>68</v>
      </c>
      <c r="F1318">
        <v>0</v>
      </c>
      <c r="G1318" t="s">
        <v>25</v>
      </c>
      <c r="H1318" t="s">
        <v>19</v>
      </c>
      <c r="I1318" t="s">
        <v>105</v>
      </c>
      <c r="J1318" t="s">
        <v>40</v>
      </c>
      <c r="L1318">
        <v>2</v>
      </c>
      <c r="M1318" s="1">
        <v>45384</v>
      </c>
    </row>
    <row r="1319" spans="1:13" x14ac:dyDescent="0.35">
      <c r="A1319" t="s">
        <v>1952</v>
      </c>
      <c r="B1319" t="s">
        <v>1953</v>
      </c>
      <c r="C1319" t="s">
        <v>117</v>
      </c>
      <c r="D1319">
        <v>20</v>
      </c>
      <c r="E1319">
        <v>20</v>
      </c>
      <c r="F1319">
        <v>0</v>
      </c>
      <c r="G1319" t="s">
        <v>25</v>
      </c>
      <c r="H1319" t="s">
        <v>19</v>
      </c>
      <c r="I1319" t="s">
        <v>105</v>
      </c>
      <c r="J1319" t="s">
        <v>26</v>
      </c>
      <c r="L1319">
        <v>7</v>
      </c>
      <c r="M1319" s="1">
        <v>45319</v>
      </c>
    </row>
    <row r="1320" spans="1:13" x14ac:dyDescent="0.35">
      <c r="A1320" t="s">
        <v>1954</v>
      </c>
      <c r="B1320" t="s">
        <v>1920</v>
      </c>
      <c r="C1320" t="s">
        <v>29</v>
      </c>
      <c r="D1320">
        <v>32</v>
      </c>
      <c r="E1320">
        <v>32</v>
      </c>
      <c r="F1320">
        <v>0</v>
      </c>
      <c r="G1320" t="s">
        <v>14</v>
      </c>
      <c r="H1320" t="s">
        <v>58</v>
      </c>
      <c r="I1320" t="s">
        <v>15</v>
      </c>
      <c r="J1320" t="s">
        <v>20</v>
      </c>
      <c r="K1320">
        <v>239571</v>
      </c>
      <c r="L1320">
        <v>4</v>
      </c>
      <c r="M1320" s="1">
        <v>45589</v>
      </c>
    </row>
    <row r="1321" spans="1:13" x14ac:dyDescent="0.35">
      <c r="A1321" t="s">
        <v>1955</v>
      </c>
      <c r="B1321" t="s">
        <v>1407</v>
      </c>
      <c r="C1321" t="s">
        <v>117</v>
      </c>
      <c r="D1321">
        <v>58</v>
      </c>
      <c r="E1321">
        <v>58</v>
      </c>
      <c r="F1321">
        <v>0</v>
      </c>
      <c r="G1321" t="s">
        <v>25</v>
      </c>
      <c r="H1321" t="s">
        <v>58</v>
      </c>
      <c r="I1321" t="s">
        <v>88</v>
      </c>
      <c r="J1321" t="s">
        <v>20</v>
      </c>
      <c r="K1321">
        <v>40400</v>
      </c>
      <c r="L1321">
        <v>3</v>
      </c>
      <c r="M1321" s="1">
        <v>45439</v>
      </c>
    </row>
    <row r="1322" spans="1:13" x14ac:dyDescent="0.35">
      <c r="A1322" t="s">
        <v>1956</v>
      </c>
      <c r="B1322" t="s">
        <v>1957</v>
      </c>
      <c r="C1322" t="s">
        <v>119</v>
      </c>
      <c r="D1322">
        <v>21</v>
      </c>
      <c r="E1322">
        <v>21</v>
      </c>
      <c r="F1322">
        <v>0</v>
      </c>
      <c r="G1322" t="s">
        <v>14</v>
      </c>
      <c r="H1322" t="s">
        <v>58</v>
      </c>
      <c r="I1322" t="s">
        <v>88</v>
      </c>
      <c r="J1322" t="s">
        <v>37</v>
      </c>
      <c r="K1322">
        <v>172031</v>
      </c>
      <c r="L1322">
        <v>8</v>
      </c>
      <c r="M1322" s="1">
        <v>45359</v>
      </c>
    </row>
    <row r="1323" spans="1:13" x14ac:dyDescent="0.35">
      <c r="A1323" t="s">
        <v>1958</v>
      </c>
      <c r="B1323" t="s">
        <v>1807</v>
      </c>
      <c r="C1323" t="s">
        <v>130</v>
      </c>
      <c r="D1323">
        <v>61</v>
      </c>
      <c r="E1323">
        <v>61</v>
      </c>
      <c r="F1323">
        <v>0</v>
      </c>
      <c r="G1323" t="s">
        <v>25</v>
      </c>
      <c r="H1323" t="s">
        <v>99</v>
      </c>
      <c r="I1323" t="s">
        <v>15</v>
      </c>
      <c r="J1323" t="s">
        <v>40</v>
      </c>
      <c r="L1323">
        <v>2</v>
      </c>
      <c r="M1323" s="1">
        <v>45533</v>
      </c>
    </row>
    <row r="1324" spans="1:13" x14ac:dyDescent="0.35">
      <c r="A1324" t="s">
        <v>1959</v>
      </c>
      <c r="B1324" t="s">
        <v>423</v>
      </c>
      <c r="C1324" t="s">
        <v>45</v>
      </c>
      <c r="D1324">
        <v>35</v>
      </c>
      <c r="F1324">
        <v>1</v>
      </c>
      <c r="G1324" t="s">
        <v>25</v>
      </c>
      <c r="H1324" t="s">
        <v>99</v>
      </c>
      <c r="I1324" t="s">
        <v>88</v>
      </c>
      <c r="J1324" t="s">
        <v>40</v>
      </c>
      <c r="L1324">
        <v>3</v>
      </c>
      <c r="M1324" s="1">
        <v>45339</v>
      </c>
    </row>
    <row r="1325" spans="1:13" x14ac:dyDescent="0.35">
      <c r="A1325" t="s">
        <v>1960</v>
      </c>
      <c r="B1325" t="s">
        <v>75</v>
      </c>
      <c r="C1325" t="s">
        <v>29</v>
      </c>
      <c r="D1325">
        <v>42</v>
      </c>
      <c r="E1325">
        <v>42</v>
      </c>
      <c r="F1325">
        <v>0</v>
      </c>
      <c r="G1325" t="s">
        <v>25</v>
      </c>
      <c r="H1325" t="s">
        <v>32</v>
      </c>
      <c r="I1325" t="s">
        <v>105</v>
      </c>
      <c r="J1325" t="s">
        <v>20</v>
      </c>
      <c r="K1325">
        <v>30000</v>
      </c>
      <c r="L1325">
        <v>5</v>
      </c>
      <c r="M1325" s="1">
        <v>45571</v>
      </c>
    </row>
    <row r="1326" spans="1:13" x14ac:dyDescent="0.35">
      <c r="A1326" t="s">
        <v>1961</v>
      </c>
      <c r="B1326" t="s">
        <v>927</v>
      </c>
      <c r="C1326" t="s">
        <v>117</v>
      </c>
      <c r="D1326">
        <v>21</v>
      </c>
      <c r="E1326">
        <v>21</v>
      </c>
      <c r="F1326">
        <v>0</v>
      </c>
      <c r="G1326" t="s">
        <v>14</v>
      </c>
      <c r="H1326" t="s">
        <v>32</v>
      </c>
      <c r="I1326" t="s">
        <v>105</v>
      </c>
      <c r="J1326" t="s">
        <v>26</v>
      </c>
      <c r="L1326">
        <v>7</v>
      </c>
      <c r="M1326" s="1">
        <v>45534</v>
      </c>
    </row>
    <row r="1327" spans="1:13" x14ac:dyDescent="0.35">
      <c r="A1327" t="s">
        <v>1962</v>
      </c>
      <c r="B1327" t="s">
        <v>1387</v>
      </c>
      <c r="C1327" t="s">
        <v>154</v>
      </c>
      <c r="D1327">
        <v>47</v>
      </c>
      <c r="E1327">
        <v>47</v>
      </c>
      <c r="F1327">
        <v>0</v>
      </c>
      <c r="G1327" t="s">
        <v>14</v>
      </c>
      <c r="H1327" t="s">
        <v>19</v>
      </c>
      <c r="I1327" t="s">
        <v>2153</v>
      </c>
      <c r="J1327" t="s">
        <v>16</v>
      </c>
      <c r="L1327">
        <v>6</v>
      </c>
      <c r="M1327" s="1">
        <v>45591</v>
      </c>
    </row>
    <row r="1328" spans="1:13" x14ac:dyDescent="0.35">
      <c r="A1328" t="s">
        <v>1963</v>
      </c>
      <c r="B1328" t="s">
        <v>425</v>
      </c>
      <c r="C1328" t="s">
        <v>117</v>
      </c>
      <c r="D1328">
        <v>26</v>
      </c>
      <c r="E1328">
        <v>26</v>
      </c>
      <c r="F1328">
        <v>0</v>
      </c>
      <c r="G1328" t="s">
        <v>14</v>
      </c>
      <c r="H1328" t="s">
        <v>32</v>
      </c>
      <c r="I1328" t="s">
        <v>2154</v>
      </c>
      <c r="J1328" t="s">
        <v>40</v>
      </c>
      <c r="L1328">
        <v>6</v>
      </c>
      <c r="M1328" s="1">
        <v>45317</v>
      </c>
    </row>
    <row r="1329" spans="1:13" x14ac:dyDescent="0.35">
      <c r="A1329" t="s">
        <v>1964</v>
      </c>
      <c r="B1329" t="s">
        <v>731</v>
      </c>
      <c r="C1329" t="s">
        <v>172</v>
      </c>
      <c r="D1329">
        <v>25</v>
      </c>
      <c r="E1329">
        <v>25</v>
      </c>
      <c r="F1329">
        <v>0</v>
      </c>
      <c r="G1329" t="s">
        <v>25</v>
      </c>
      <c r="H1329" t="s">
        <v>19</v>
      </c>
      <c r="I1329" t="s">
        <v>88</v>
      </c>
      <c r="J1329" t="s">
        <v>16</v>
      </c>
      <c r="L1329">
        <v>1</v>
      </c>
      <c r="M1329" s="1">
        <v>45430</v>
      </c>
    </row>
    <row r="1330" spans="1:13" x14ac:dyDescent="0.35">
      <c r="A1330" t="s">
        <v>1965</v>
      </c>
      <c r="B1330" t="s">
        <v>715</v>
      </c>
      <c r="C1330" t="s">
        <v>69</v>
      </c>
      <c r="D1330">
        <v>30</v>
      </c>
      <c r="E1330">
        <v>30</v>
      </c>
      <c r="F1330">
        <v>0</v>
      </c>
      <c r="G1330" t="s">
        <v>25</v>
      </c>
      <c r="H1330" t="s">
        <v>19</v>
      </c>
      <c r="I1330" t="s">
        <v>15</v>
      </c>
      <c r="J1330" t="s">
        <v>20</v>
      </c>
      <c r="K1330">
        <v>108761</v>
      </c>
      <c r="L1330">
        <v>7</v>
      </c>
      <c r="M1330" s="1">
        <v>45561</v>
      </c>
    </row>
    <row r="1331" spans="1:13" x14ac:dyDescent="0.35">
      <c r="A1331" t="s">
        <v>1966</v>
      </c>
      <c r="B1331" t="s">
        <v>960</v>
      </c>
      <c r="C1331" t="s">
        <v>172</v>
      </c>
      <c r="D1331">
        <v>56</v>
      </c>
      <c r="E1331">
        <v>56</v>
      </c>
      <c r="F1331">
        <v>0</v>
      </c>
      <c r="G1331" t="s">
        <v>14</v>
      </c>
      <c r="H1331" t="s">
        <v>32</v>
      </c>
      <c r="I1331" t="s">
        <v>88</v>
      </c>
      <c r="J1331" t="s">
        <v>16</v>
      </c>
      <c r="L1331">
        <v>9</v>
      </c>
      <c r="M1331" s="1">
        <v>45303</v>
      </c>
    </row>
    <row r="1332" spans="1:13" x14ac:dyDescent="0.35">
      <c r="A1332" t="s">
        <v>1967</v>
      </c>
      <c r="B1332" t="s">
        <v>1382</v>
      </c>
      <c r="C1332" t="s">
        <v>154</v>
      </c>
      <c r="D1332">
        <v>38</v>
      </c>
      <c r="E1332">
        <v>38</v>
      </c>
      <c r="F1332">
        <v>0</v>
      </c>
      <c r="G1332" t="s">
        <v>25</v>
      </c>
      <c r="H1332" t="s">
        <v>99</v>
      </c>
      <c r="I1332" t="s">
        <v>2153</v>
      </c>
      <c r="J1332" t="s">
        <v>20</v>
      </c>
      <c r="K1332">
        <v>213882</v>
      </c>
      <c r="L1332">
        <v>9</v>
      </c>
      <c r="M1332" s="1">
        <v>45314</v>
      </c>
    </row>
    <row r="1333" spans="1:13" x14ac:dyDescent="0.35">
      <c r="A1333" t="s">
        <v>1968</v>
      </c>
      <c r="B1333" t="s">
        <v>783</v>
      </c>
      <c r="C1333" t="s">
        <v>119</v>
      </c>
      <c r="D1333">
        <v>12</v>
      </c>
      <c r="E1333">
        <v>12</v>
      </c>
      <c r="F1333">
        <v>0</v>
      </c>
      <c r="G1333" t="s">
        <v>25</v>
      </c>
      <c r="H1333" t="s">
        <v>99</v>
      </c>
      <c r="I1333" t="s">
        <v>88</v>
      </c>
      <c r="J1333" t="s">
        <v>26</v>
      </c>
      <c r="L1333">
        <v>4</v>
      </c>
      <c r="M1333" s="1">
        <v>45528</v>
      </c>
    </row>
    <row r="1334" spans="1:13" x14ac:dyDescent="0.35">
      <c r="A1334" t="s">
        <v>1969</v>
      </c>
      <c r="B1334" t="s">
        <v>872</v>
      </c>
      <c r="C1334" t="s">
        <v>119</v>
      </c>
      <c r="D1334">
        <v>23</v>
      </c>
      <c r="E1334">
        <v>23</v>
      </c>
      <c r="F1334">
        <v>0</v>
      </c>
      <c r="G1334" t="s">
        <v>14</v>
      </c>
      <c r="H1334" t="s">
        <v>32</v>
      </c>
      <c r="I1334" t="s">
        <v>88</v>
      </c>
      <c r="J1334" t="s">
        <v>26</v>
      </c>
      <c r="L1334">
        <v>6</v>
      </c>
      <c r="M1334" s="1">
        <v>45477</v>
      </c>
    </row>
    <row r="1335" spans="1:13" x14ac:dyDescent="0.35">
      <c r="A1335" t="s">
        <v>1970</v>
      </c>
      <c r="B1335" t="s">
        <v>223</v>
      </c>
      <c r="C1335" t="s">
        <v>117</v>
      </c>
      <c r="D1335">
        <v>40</v>
      </c>
      <c r="E1335">
        <v>40</v>
      </c>
      <c r="F1335">
        <v>0</v>
      </c>
      <c r="G1335" t="s">
        <v>14</v>
      </c>
      <c r="H1335" t="s">
        <v>58</v>
      </c>
      <c r="I1335" t="s">
        <v>88</v>
      </c>
      <c r="J1335" t="s">
        <v>20</v>
      </c>
      <c r="K1335">
        <v>151157</v>
      </c>
      <c r="L1335">
        <v>8</v>
      </c>
      <c r="M1335" s="1">
        <v>45566</v>
      </c>
    </row>
    <row r="1336" spans="1:13" x14ac:dyDescent="0.35">
      <c r="A1336" t="s">
        <v>1971</v>
      </c>
      <c r="B1336" t="s">
        <v>312</v>
      </c>
      <c r="C1336" t="s">
        <v>13</v>
      </c>
      <c r="D1336">
        <v>25</v>
      </c>
      <c r="E1336">
        <v>25</v>
      </c>
      <c r="F1336">
        <v>0</v>
      </c>
      <c r="G1336" t="s">
        <v>14</v>
      </c>
      <c r="H1336" t="s">
        <v>58</v>
      </c>
      <c r="I1336" t="s">
        <v>105</v>
      </c>
      <c r="J1336" t="s">
        <v>26</v>
      </c>
      <c r="L1336">
        <v>9</v>
      </c>
      <c r="M1336" s="1">
        <v>45359</v>
      </c>
    </row>
    <row r="1337" spans="1:13" x14ac:dyDescent="0.35">
      <c r="A1337" t="s">
        <v>1972</v>
      </c>
      <c r="B1337" t="s">
        <v>692</v>
      </c>
      <c r="C1337" t="s">
        <v>45</v>
      </c>
      <c r="D1337">
        <v>45</v>
      </c>
      <c r="E1337">
        <v>45</v>
      </c>
      <c r="F1337">
        <v>0</v>
      </c>
      <c r="G1337" t="s">
        <v>25</v>
      </c>
      <c r="H1337" t="s">
        <v>99</v>
      </c>
      <c r="I1337" t="s">
        <v>105</v>
      </c>
      <c r="J1337" t="s">
        <v>16</v>
      </c>
      <c r="L1337">
        <v>7</v>
      </c>
      <c r="M1337" s="1">
        <v>45454</v>
      </c>
    </row>
    <row r="1338" spans="1:13" x14ac:dyDescent="0.35">
      <c r="A1338" t="s">
        <v>1973</v>
      </c>
      <c r="B1338" t="s">
        <v>751</v>
      </c>
      <c r="C1338" t="s">
        <v>184</v>
      </c>
      <c r="D1338">
        <v>59</v>
      </c>
      <c r="E1338">
        <v>59</v>
      </c>
      <c r="F1338">
        <v>0</v>
      </c>
      <c r="G1338" t="s">
        <v>14</v>
      </c>
      <c r="H1338" t="s">
        <v>58</v>
      </c>
      <c r="I1338" t="s">
        <v>15</v>
      </c>
      <c r="J1338" t="s">
        <v>37</v>
      </c>
      <c r="K1338">
        <v>83198</v>
      </c>
      <c r="L1338">
        <v>6</v>
      </c>
      <c r="M1338" s="1">
        <v>45465</v>
      </c>
    </row>
    <row r="1339" spans="1:13" x14ac:dyDescent="0.35">
      <c r="A1339" t="s">
        <v>1974</v>
      </c>
      <c r="B1339" t="s">
        <v>1674</v>
      </c>
      <c r="C1339" t="s">
        <v>130</v>
      </c>
      <c r="D1339">
        <v>65</v>
      </c>
      <c r="E1339">
        <v>65</v>
      </c>
      <c r="F1339">
        <v>0</v>
      </c>
      <c r="G1339" t="s">
        <v>14</v>
      </c>
      <c r="H1339" t="s">
        <v>32</v>
      </c>
      <c r="I1339" t="s">
        <v>88</v>
      </c>
      <c r="J1339" t="s">
        <v>20</v>
      </c>
      <c r="K1339">
        <v>30000</v>
      </c>
      <c r="L1339">
        <v>6</v>
      </c>
      <c r="M1339" s="1">
        <v>45292</v>
      </c>
    </row>
    <row r="1340" spans="1:13" x14ac:dyDescent="0.35">
      <c r="A1340" t="s">
        <v>1975</v>
      </c>
      <c r="B1340" t="s">
        <v>908</v>
      </c>
      <c r="C1340" t="s">
        <v>13</v>
      </c>
      <c r="D1340">
        <v>38</v>
      </c>
      <c r="E1340">
        <v>38</v>
      </c>
      <c r="F1340">
        <v>0</v>
      </c>
      <c r="G1340" t="s">
        <v>25</v>
      </c>
      <c r="H1340" t="s">
        <v>58</v>
      </c>
      <c r="I1340" t="s">
        <v>2153</v>
      </c>
      <c r="J1340" t="s">
        <v>40</v>
      </c>
      <c r="L1340">
        <v>8</v>
      </c>
      <c r="M1340" s="1">
        <v>45430</v>
      </c>
    </row>
    <row r="1341" spans="1:13" x14ac:dyDescent="0.35">
      <c r="A1341" t="s">
        <v>1976</v>
      </c>
      <c r="B1341" t="s">
        <v>824</v>
      </c>
      <c r="C1341" t="s">
        <v>154</v>
      </c>
      <c r="D1341">
        <v>35</v>
      </c>
      <c r="E1341">
        <v>35</v>
      </c>
      <c r="F1341">
        <v>0</v>
      </c>
      <c r="G1341" t="s">
        <v>25</v>
      </c>
      <c r="H1341" t="s">
        <v>99</v>
      </c>
      <c r="I1341" t="s">
        <v>15</v>
      </c>
      <c r="J1341" t="s">
        <v>20</v>
      </c>
      <c r="K1341">
        <v>42833</v>
      </c>
      <c r="L1341">
        <v>3</v>
      </c>
      <c r="M1341" s="1">
        <v>45379</v>
      </c>
    </row>
    <row r="1342" spans="1:13" x14ac:dyDescent="0.35">
      <c r="A1342" t="s">
        <v>1977</v>
      </c>
      <c r="B1342" t="s">
        <v>1714</v>
      </c>
      <c r="C1342" t="s">
        <v>69</v>
      </c>
      <c r="D1342">
        <v>50</v>
      </c>
      <c r="E1342">
        <v>50</v>
      </c>
      <c r="F1342">
        <v>0</v>
      </c>
      <c r="G1342" t="s">
        <v>25</v>
      </c>
      <c r="H1342" t="s">
        <v>99</v>
      </c>
      <c r="I1342" t="s">
        <v>2153</v>
      </c>
      <c r="J1342" t="s">
        <v>26</v>
      </c>
      <c r="L1342">
        <v>3</v>
      </c>
      <c r="M1342" s="1">
        <v>45635</v>
      </c>
    </row>
    <row r="1343" spans="1:13" x14ac:dyDescent="0.35">
      <c r="A1343" t="s">
        <v>1978</v>
      </c>
      <c r="B1343" t="s">
        <v>132</v>
      </c>
      <c r="C1343" t="s">
        <v>184</v>
      </c>
      <c r="D1343">
        <v>37</v>
      </c>
      <c r="E1343">
        <v>37</v>
      </c>
      <c r="F1343">
        <v>0</v>
      </c>
      <c r="G1343" t="s">
        <v>14</v>
      </c>
      <c r="H1343" t="s">
        <v>99</v>
      </c>
      <c r="I1343" t="s">
        <v>105</v>
      </c>
      <c r="J1343" t="s">
        <v>26</v>
      </c>
      <c r="L1343">
        <v>5</v>
      </c>
      <c r="M1343" s="1">
        <v>45538</v>
      </c>
    </row>
    <row r="1344" spans="1:13" x14ac:dyDescent="0.35">
      <c r="A1344" t="s">
        <v>1979</v>
      </c>
      <c r="B1344" t="s">
        <v>1128</v>
      </c>
      <c r="C1344" t="s">
        <v>45</v>
      </c>
      <c r="D1344">
        <v>8</v>
      </c>
      <c r="E1344">
        <v>8</v>
      </c>
      <c r="F1344">
        <v>0</v>
      </c>
      <c r="G1344" t="s">
        <v>25</v>
      </c>
      <c r="H1344" t="s">
        <v>99</v>
      </c>
      <c r="I1344" t="s">
        <v>105</v>
      </c>
      <c r="J1344" t="s">
        <v>26</v>
      </c>
      <c r="L1344">
        <v>8</v>
      </c>
      <c r="M1344" s="1">
        <v>45408</v>
      </c>
    </row>
    <row r="1345" spans="1:13" x14ac:dyDescent="0.35">
      <c r="A1345" t="s">
        <v>1980</v>
      </c>
      <c r="B1345" t="s">
        <v>1981</v>
      </c>
      <c r="C1345" t="s">
        <v>29</v>
      </c>
      <c r="D1345">
        <v>37</v>
      </c>
      <c r="E1345">
        <v>37</v>
      </c>
      <c r="F1345">
        <v>0</v>
      </c>
      <c r="G1345" t="s">
        <v>25</v>
      </c>
      <c r="H1345" t="s">
        <v>32</v>
      </c>
      <c r="I1345" t="s">
        <v>2154</v>
      </c>
      <c r="J1345" t="s">
        <v>16</v>
      </c>
      <c r="L1345">
        <v>1</v>
      </c>
      <c r="M1345" s="1">
        <v>45499</v>
      </c>
    </row>
    <row r="1346" spans="1:13" x14ac:dyDescent="0.35">
      <c r="A1346" t="s">
        <v>1982</v>
      </c>
      <c r="B1346" t="s">
        <v>1178</v>
      </c>
      <c r="C1346" t="s">
        <v>184</v>
      </c>
      <c r="D1346">
        <v>24</v>
      </c>
      <c r="E1346">
        <v>24</v>
      </c>
      <c r="F1346">
        <v>0</v>
      </c>
      <c r="G1346" t="s">
        <v>25</v>
      </c>
      <c r="H1346" t="s">
        <v>19</v>
      </c>
      <c r="I1346" t="s">
        <v>2154</v>
      </c>
      <c r="J1346" t="s">
        <v>20</v>
      </c>
      <c r="K1346">
        <v>145432</v>
      </c>
      <c r="L1346">
        <v>7</v>
      </c>
      <c r="M1346" s="1">
        <v>45489</v>
      </c>
    </row>
    <row r="1347" spans="1:13" x14ac:dyDescent="0.35">
      <c r="A1347" t="s">
        <v>1983</v>
      </c>
      <c r="B1347" t="s">
        <v>1949</v>
      </c>
      <c r="C1347" t="s">
        <v>119</v>
      </c>
      <c r="D1347">
        <v>33</v>
      </c>
      <c r="E1347">
        <v>33</v>
      </c>
      <c r="F1347">
        <v>0</v>
      </c>
      <c r="G1347" t="s">
        <v>25</v>
      </c>
      <c r="H1347" t="s">
        <v>58</v>
      </c>
      <c r="I1347" t="s">
        <v>2154</v>
      </c>
      <c r="J1347" t="s">
        <v>20</v>
      </c>
      <c r="K1347">
        <v>56417</v>
      </c>
      <c r="L1347">
        <v>3</v>
      </c>
      <c r="M1347" s="1">
        <v>45330</v>
      </c>
    </row>
    <row r="1348" spans="1:13" x14ac:dyDescent="0.35">
      <c r="A1348" t="s">
        <v>1984</v>
      </c>
      <c r="B1348" t="s">
        <v>1473</v>
      </c>
      <c r="C1348" t="s">
        <v>45</v>
      </c>
      <c r="D1348">
        <v>32</v>
      </c>
      <c r="E1348">
        <v>32</v>
      </c>
      <c r="F1348">
        <v>0</v>
      </c>
      <c r="G1348" t="s">
        <v>14</v>
      </c>
      <c r="H1348" t="s">
        <v>32</v>
      </c>
      <c r="I1348" t="s">
        <v>105</v>
      </c>
      <c r="J1348" t="s">
        <v>37</v>
      </c>
      <c r="K1348">
        <v>40918</v>
      </c>
      <c r="L1348">
        <v>4</v>
      </c>
      <c r="M1348" s="1">
        <v>45361</v>
      </c>
    </row>
    <row r="1349" spans="1:13" x14ac:dyDescent="0.35">
      <c r="A1349" t="s">
        <v>1985</v>
      </c>
      <c r="B1349" t="s">
        <v>1547</v>
      </c>
      <c r="C1349" t="s">
        <v>130</v>
      </c>
      <c r="D1349">
        <v>45</v>
      </c>
      <c r="E1349">
        <v>45</v>
      </c>
      <c r="F1349">
        <v>0</v>
      </c>
      <c r="G1349" t="s">
        <v>14</v>
      </c>
      <c r="H1349" t="s">
        <v>58</v>
      </c>
      <c r="I1349" t="s">
        <v>105</v>
      </c>
      <c r="J1349" t="s">
        <v>20</v>
      </c>
      <c r="K1349">
        <v>30000</v>
      </c>
      <c r="L1349">
        <v>7</v>
      </c>
      <c r="M1349" s="1">
        <v>45427</v>
      </c>
    </row>
    <row r="1350" spans="1:13" x14ac:dyDescent="0.35">
      <c r="A1350" t="s">
        <v>1986</v>
      </c>
      <c r="B1350" t="s">
        <v>318</v>
      </c>
      <c r="C1350" t="s">
        <v>184</v>
      </c>
      <c r="D1350">
        <v>43</v>
      </c>
      <c r="E1350">
        <v>43</v>
      </c>
      <c r="F1350">
        <v>0</v>
      </c>
      <c r="G1350" t="s">
        <v>14</v>
      </c>
      <c r="H1350" t="s">
        <v>99</v>
      </c>
      <c r="I1350" t="s">
        <v>105</v>
      </c>
      <c r="J1350" t="s">
        <v>16</v>
      </c>
      <c r="L1350">
        <v>5</v>
      </c>
      <c r="M1350" s="1">
        <v>45316</v>
      </c>
    </row>
    <row r="1351" spans="1:13" x14ac:dyDescent="0.35">
      <c r="A1351" t="s">
        <v>1987</v>
      </c>
      <c r="B1351" t="s">
        <v>1949</v>
      </c>
      <c r="C1351" t="s">
        <v>13</v>
      </c>
      <c r="D1351">
        <v>43</v>
      </c>
      <c r="E1351">
        <v>43</v>
      </c>
      <c r="F1351">
        <v>0</v>
      </c>
      <c r="G1351" t="s">
        <v>25</v>
      </c>
      <c r="H1351" t="s">
        <v>58</v>
      </c>
      <c r="I1351" t="s">
        <v>15</v>
      </c>
      <c r="J1351" t="s">
        <v>37</v>
      </c>
      <c r="K1351">
        <v>30000</v>
      </c>
      <c r="L1351">
        <v>4</v>
      </c>
      <c r="M1351" s="1">
        <v>45440</v>
      </c>
    </row>
    <row r="1352" spans="1:13" x14ac:dyDescent="0.35">
      <c r="A1352" t="s">
        <v>1988</v>
      </c>
      <c r="B1352" t="s">
        <v>770</v>
      </c>
      <c r="C1352" t="s">
        <v>130</v>
      </c>
      <c r="D1352">
        <v>64</v>
      </c>
      <c r="E1352">
        <v>64</v>
      </c>
      <c r="F1352">
        <v>0</v>
      </c>
      <c r="G1352" t="s">
        <v>14</v>
      </c>
      <c r="H1352" t="s">
        <v>32</v>
      </c>
      <c r="I1352" t="s">
        <v>88</v>
      </c>
      <c r="J1352" t="s">
        <v>16</v>
      </c>
      <c r="L1352">
        <v>6</v>
      </c>
      <c r="M1352" s="1">
        <v>45486</v>
      </c>
    </row>
    <row r="1353" spans="1:13" x14ac:dyDescent="0.35">
      <c r="A1353" t="s">
        <v>1989</v>
      </c>
      <c r="B1353" t="s">
        <v>1016</v>
      </c>
      <c r="C1353" t="s">
        <v>117</v>
      </c>
      <c r="D1353">
        <v>41</v>
      </c>
      <c r="E1353">
        <v>41</v>
      </c>
      <c r="F1353">
        <v>0</v>
      </c>
      <c r="G1353" t="s">
        <v>14</v>
      </c>
      <c r="H1353" t="s">
        <v>99</v>
      </c>
      <c r="I1353" t="s">
        <v>15</v>
      </c>
      <c r="J1353" t="s">
        <v>37</v>
      </c>
      <c r="K1353">
        <v>94039</v>
      </c>
      <c r="L1353">
        <v>3</v>
      </c>
      <c r="M1353" s="1">
        <v>45531</v>
      </c>
    </row>
    <row r="1354" spans="1:13" x14ac:dyDescent="0.35">
      <c r="A1354" t="s">
        <v>1990</v>
      </c>
      <c r="B1354" t="s">
        <v>781</v>
      </c>
      <c r="C1354" t="s">
        <v>13</v>
      </c>
      <c r="D1354">
        <v>18</v>
      </c>
      <c r="E1354">
        <v>18</v>
      </c>
      <c r="F1354">
        <v>0</v>
      </c>
      <c r="G1354" t="s">
        <v>14</v>
      </c>
      <c r="H1354" t="s">
        <v>58</v>
      </c>
      <c r="I1354" t="s">
        <v>105</v>
      </c>
      <c r="J1354" t="s">
        <v>37</v>
      </c>
      <c r="K1354">
        <v>30000</v>
      </c>
      <c r="L1354">
        <v>3</v>
      </c>
      <c r="M1354" s="1">
        <v>45304</v>
      </c>
    </row>
    <row r="1355" spans="1:13" x14ac:dyDescent="0.35">
      <c r="A1355" t="s">
        <v>1991</v>
      </c>
      <c r="B1355" t="s">
        <v>79</v>
      </c>
      <c r="C1355" t="s">
        <v>154</v>
      </c>
      <c r="D1355">
        <v>34</v>
      </c>
      <c r="E1355">
        <v>34</v>
      </c>
      <c r="F1355">
        <v>0</v>
      </c>
      <c r="G1355" t="s">
        <v>25</v>
      </c>
      <c r="H1355" t="s">
        <v>99</v>
      </c>
      <c r="I1355" t="s">
        <v>105</v>
      </c>
      <c r="J1355" t="s">
        <v>20</v>
      </c>
      <c r="K1355">
        <v>59000</v>
      </c>
      <c r="L1355">
        <v>4</v>
      </c>
      <c r="M1355" s="1">
        <v>45603</v>
      </c>
    </row>
    <row r="1356" spans="1:13" x14ac:dyDescent="0.35">
      <c r="A1356" t="s">
        <v>1992</v>
      </c>
      <c r="B1356" t="s">
        <v>1993</v>
      </c>
      <c r="C1356" t="s">
        <v>119</v>
      </c>
      <c r="D1356">
        <v>29</v>
      </c>
      <c r="E1356">
        <v>29</v>
      </c>
      <c r="F1356">
        <v>0</v>
      </c>
      <c r="G1356" t="s">
        <v>25</v>
      </c>
      <c r="H1356" t="s">
        <v>99</v>
      </c>
      <c r="I1356" t="s">
        <v>2153</v>
      </c>
      <c r="J1356" t="s">
        <v>16</v>
      </c>
      <c r="L1356">
        <v>4</v>
      </c>
      <c r="M1356" s="1">
        <v>45556</v>
      </c>
    </row>
    <row r="1357" spans="1:13" x14ac:dyDescent="0.35">
      <c r="A1357" t="s">
        <v>1994</v>
      </c>
      <c r="B1357" t="s">
        <v>837</v>
      </c>
      <c r="C1357" t="s">
        <v>45</v>
      </c>
      <c r="D1357">
        <v>19</v>
      </c>
      <c r="E1357">
        <v>19</v>
      </c>
      <c r="F1357">
        <v>0</v>
      </c>
      <c r="G1357" t="s">
        <v>14</v>
      </c>
      <c r="H1357" t="s">
        <v>32</v>
      </c>
      <c r="I1357" t="s">
        <v>105</v>
      </c>
      <c r="J1357" t="s">
        <v>37</v>
      </c>
      <c r="K1357">
        <v>64683</v>
      </c>
      <c r="L1357">
        <v>7</v>
      </c>
      <c r="M1357" s="1">
        <v>45326</v>
      </c>
    </row>
    <row r="1358" spans="1:13" x14ac:dyDescent="0.35">
      <c r="A1358" t="s">
        <v>1995</v>
      </c>
      <c r="B1358" t="s">
        <v>200</v>
      </c>
      <c r="C1358" t="s">
        <v>45</v>
      </c>
      <c r="D1358">
        <v>6</v>
      </c>
      <c r="E1358">
        <v>6</v>
      </c>
      <c r="F1358">
        <v>0</v>
      </c>
      <c r="G1358" t="s">
        <v>25</v>
      </c>
      <c r="H1358" t="s">
        <v>99</v>
      </c>
      <c r="I1358" t="s">
        <v>2153</v>
      </c>
      <c r="J1358" t="s">
        <v>26</v>
      </c>
      <c r="L1358">
        <v>7</v>
      </c>
      <c r="M1358" s="1">
        <v>45529</v>
      </c>
    </row>
    <row r="1359" spans="1:13" x14ac:dyDescent="0.35">
      <c r="A1359" t="s">
        <v>1996</v>
      </c>
      <c r="B1359" t="s">
        <v>1981</v>
      </c>
      <c r="C1359" t="s">
        <v>154</v>
      </c>
      <c r="D1359">
        <v>19</v>
      </c>
      <c r="E1359">
        <v>19</v>
      </c>
      <c r="F1359">
        <v>0</v>
      </c>
      <c r="G1359" t="s">
        <v>25</v>
      </c>
      <c r="H1359" t="s">
        <v>19</v>
      </c>
      <c r="I1359" t="s">
        <v>15</v>
      </c>
      <c r="J1359" t="s">
        <v>16</v>
      </c>
      <c r="L1359">
        <v>3</v>
      </c>
      <c r="M1359" s="1">
        <v>45431</v>
      </c>
    </row>
    <row r="1360" spans="1:13" x14ac:dyDescent="0.35">
      <c r="A1360" t="s">
        <v>1997</v>
      </c>
      <c r="B1360" t="s">
        <v>1270</v>
      </c>
      <c r="C1360" t="s">
        <v>29</v>
      </c>
      <c r="D1360">
        <v>49</v>
      </c>
      <c r="E1360">
        <v>49</v>
      </c>
      <c r="F1360">
        <v>0</v>
      </c>
      <c r="G1360" t="s">
        <v>14</v>
      </c>
      <c r="H1360" t="s">
        <v>32</v>
      </c>
      <c r="I1360" t="s">
        <v>15</v>
      </c>
      <c r="J1360" t="s">
        <v>16</v>
      </c>
      <c r="L1360">
        <v>4</v>
      </c>
      <c r="M1360" s="1">
        <v>45393</v>
      </c>
    </row>
    <row r="1361" spans="1:13" x14ac:dyDescent="0.35">
      <c r="A1361" t="s">
        <v>1998</v>
      </c>
      <c r="B1361" t="s">
        <v>811</v>
      </c>
      <c r="C1361" t="s">
        <v>117</v>
      </c>
      <c r="D1361">
        <v>1</v>
      </c>
      <c r="E1361">
        <v>1</v>
      </c>
      <c r="F1361">
        <v>0</v>
      </c>
      <c r="G1361" t="s">
        <v>14</v>
      </c>
      <c r="H1361" t="s">
        <v>99</v>
      </c>
      <c r="I1361" t="s">
        <v>88</v>
      </c>
      <c r="J1361" t="s">
        <v>26</v>
      </c>
      <c r="L1361">
        <v>3</v>
      </c>
      <c r="M1361" s="1">
        <v>45519</v>
      </c>
    </row>
    <row r="1362" spans="1:13" x14ac:dyDescent="0.35">
      <c r="A1362" t="s">
        <v>1999</v>
      </c>
      <c r="B1362" t="s">
        <v>851</v>
      </c>
      <c r="C1362" t="s">
        <v>184</v>
      </c>
      <c r="D1362">
        <v>50</v>
      </c>
      <c r="E1362">
        <v>50</v>
      </c>
      <c r="F1362">
        <v>0</v>
      </c>
      <c r="G1362" t="s">
        <v>14</v>
      </c>
      <c r="H1362" t="s">
        <v>99</v>
      </c>
      <c r="I1362" t="s">
        <v>2154</v>
      </c>
      <c r="J1362" t="s">
        <v>40</v>
      </c>
      <c r="L1362">
        <v>5</v>
      </c>
      <c r="M1362" s="1">
        <v>45295</v>
      </c>
    </row>
    <row r="1363" spans="1:13" x14ac:dyDescent="0.35">
      <c r="A1363" t="s">
        <v>2000</v>
      </c>
      <c r="B1363" t="s">
        <v>705</v>
      </c>
      <c r="C1363" t="s">
        <v>172</v>
      </c>
      <c r="D1363">
        <v>31</v>
      </c>
      <c r="E1363">
        <v>31</v>
      </c>
      <c r="F1363">
        <v>0</v>
      </c>
      <c r="G1363" t="s">
        <v>25</v>
      </c>
      <c r="H1363" t="s">
        <v>19</v>
      </c>
      <c r="I1363" t="s">
        <v>105</v>
      </c>
      <c r="J1363" t="s">
        <v>37</v>
      </c>
      <c r="K1363">
        <v>79736</v>
      </c>
      <c r="L1363">
        <v>7</v>
      </c>
      <c r="M1363" s="1">
        <v>45488</v>
      </c>
    </row>
    <row r="1364" spans="1:13" x14ac:dyDescent="0.35">
      <c r="A1364" t="s">
        <v>2001</v>
      </c>
      <c r="B1364" t="s">
        <v>562</v>
      </c>
      <c r="C1364" t="s">
        <v>130</v>
      </c>
      <c r="D1364">
        <v>44</v>
      </c>
      <c r="E1364">
        <v>44</v>
      </c>
      <c r="F1364">
        <v>0</v>
      </c>
      <c r="G1364" t="s">
        <v>14</v>
      </c>
      <c r="H1364" t="s">
        <v>99</v>
      </c>
      <c r="I1364" t="s">
        <v>88</v>
      </c>
      <c r="J1364" t="s">
        <v>40</v>
      </c>
      <c r="L1364">
        <v>1</v>
      </c>
      <c r="M1364" s="1">
        <v>45470</v>
      </c>
    </row>
    <row r="1365" spans="1:13" x14ac:dyDescent="0.35">
      <c r="A1365" t="s">
        <v>2002</v>
      </c>
      <c r="B1365" t="s">
        <v>1957</v>
      </c>
      <c r="C1365" t="s">
        <v>13</v>
      </c>
      <c r="D1365">
        <v>36</v>
      </c>
      <c r="E1365">
        <v>36</v>
      </c>
      <c r="F1365">
        <v>0</v>
      </c>
      <c r="G1365" t="s">
        <v>14</v>
      </c>
      <c r="H1365" t="s">
        <v>58</v>
      </c>
      <c r="I1365" t="s">
        <v>88</v>
      </c>
      <c r="J1365" t="s">
        <v>26</v>
      </c>
      <c r="L1365">
        <v>3</v>
      </c>
      <c r="M1365" s="1">
        <v>45338</v>
      </c>
    </row>
    <row r="1366" spans="1:13" x14ac:dyDescent="0.35">
      <c r="A1366" t="s">
        <v>2003</v>
      </c>
      <c r="B1366" t="s">
        <v>779</v>
      </c>
      <c r="C1366" t="s">
        <v>69</v>
      </c>
      <c r="D1366">
        <v>25</v>
      </c>
      <c r="E1366">
        <v>25</v>
      </c>
      <c r="F1366">
        <v>0</v>
      </c>
      <c r="G1366" t="s">
        <v>25</v>
      </c>
      <c r="H1366" t="s">
        <v>32</v>
      </c>
      <c r="I1366" t="s">
        <v>88</v>
      </c>
      <c r="J1366" t="s">
        <v>26</v>
      </c>
      <c r="L1366">
        <v>5</v>
      </c>
      <c r="M1366" s="1">
        <v>45314</v>
      </c>
    </row>
    <row r="1367" spans="1:13" x14ac:dyDescent="0.35">
      <c r="A1367" t="s">
        <v>2004</v>
      </c>
      <c r="B1367" t="s">
        <v>485</v>
      </c>
      <c r="C1367" t="s">
        <v>119</v>
      </c>
      <c r="D1367">
        <v>34</v>
      </c>
      <c r="F1367">
        <v>1</v>
      </c>
      <c r="G1367" t="s">
        <v>14</v>
      </c>
      <c r="H1367" t="s">
        <v>99</v>
      </c>
      <c r="I1367" t="s">
        <v>15</v>
      </c>
      <c r="J1367" t="s">
        <v>37</v>
      </c>
      <c r="K1367">
        <v>71353</v>
      </c>
      <c r="L1367">
        <v>1</v>
      </c>
      <c r="M1367" s="1">
        <v>45303</v>
      </c>
    </row>
    <row r="1368" spans="1:13" x14ac:dyDescent="0.35">
      <c r="A1368" t="s">
        <v>2005</v>
      </c>
      <c r="B1368" t="s">
        <v>2006</v>
      </c>
      <c r="C1368" t="s">
        <v>172</v>
      </c>
      <c r="D1368">
        <v>35</v>
      </c>
      <c r="E1368">
        <v>35</v>
      </c>
      <c r="F1368">
        <v>0</v>
      </c>
      <c r="G1368" t="s">
        <v>14</v>
      </c>
      <c r="H1368" t="s">
        <v>99</v>
      </c>
      <c r="I1368" t="s">
        <v>15</v>
      </c>
      <c r="J1368" t="s">
        <v>37</v>
      </c>
      <c r="K1368">
        <v>30000</v>
      </c>
      <c r="L1368">
        <v>2</v>
      </c>
      <c r="M1368" s="1">
        <v>45320</v>
      </c>
    </row>
    <row r="1369" spans="1:13" x14ac:dyDescent="0.35">
      <c r="A1369" t="s">
        <v>2007</v>
      </c>
      <c r="B1369" t="s">
        <v>1460</v>
      </c>
      <c r="C1369" t="s">
        <v>117</v>
      </c>
      <c r="D1369">
        <v>53</v>
      </c>
      <c r="E1369">
        <v>53</v>
      </c>
      <c r="F1369">
        <v>0</v>
      </c>
      <c r="G1369" t="s">
        <v>14</v>
      </c>
      <c r="H1369" t="s">
        <v>99</v>
      </c>
      <c r="I1369" t="s">
        <v>2153</v>
      </c>
      <c r="J1369" t="s">
        <v>20</v>
      </c>
      <c r="K1369">
        <v>55155</v>
      </c>
      <c r="L1369">
        <v>3</v>
      </c>
      <c r="M1369" s="1">
        <v>45518</v>
      </c>
    </row>
    <row r="1370" spans="1:13" x14ac:dyDescent="0.35">
      <c r="A1370" t="s">
        <v>2008</v>
      </c>
      <c r="B1370" t="s">
        <v>1460</v>
      </c>
      <c r="C1370" t="s">
        <v>45</v>
      </c>
      <c r="D1370">
        <v>15</v>
      </c>
      <c r="E1370">
        <v>15</v>
      </c>
      <c r="F1370">
        <v>0</v>
      </c>
      <c r="G1370" t="s">
        <v>14</v>
      </c>
      <c r="H1370" t="s">
        <v>32</v>
      </c>
      <c r="I1370" t="s">
        <v>2154</v>
      </c>
      <c r="J1370" t="s">
        <v>37</v>
      </c>
      <c r="K1370">
        <v>55565</v>
      </c>
      <c r="L1370">
        <v>4</v>
      </c>
      <c r="M1370" s="1">
        <v>45551</v>
      </c>
    </row>
    <row r="1371" spans="1:13" x14ac:dyDescent="0.35">
      <c r="A1371" t="s">
        <v>2009</v>
      </c>
      <c r="B1371" t="s">
        <v>31</v>
      </c>
      <c r="C1371" t="s">
        <v>117</v>
      </c>
      <c r="D1371">
        <v>22</v>
      </c>
      <c r="E1371">
        <v>22</v>
      </c>
      <c r="F1371">
        <v>0</v>
      </c>
      <c r="G1371" t="s">
        <v>25</v>
      </c>
      <c r="H1371" t="s">
        <v>19</v>
      </c>
      <c r="I1371" t="s">
        <v>15</v>
      </c>
      <c r="J1371" t="s">
        <v>20</v>
      </c>
      <c r="K1371">
        <v>40407</v>
      </c>
      <c r="L1371">
        <v>4</v>
      </c>
      <c r="M1371" s="1">
        <v>45389</v>
      </c>
    </row>
    <row r="1372" spans="1:13" x14ac:dyDescent="0.35">
      <c r="A1372" t="s">
        <v>2010</v>
      </c>
      <c r="B1372" t="s">
        <v>1036</v>
      </c>
      <c r="C1372" t="s">
        <v>45</v>
      </c>
      <c r="D1372">
        <v>51</v>
      </c>
      <c r="E1372">
        <v>51</v>
      </c>
      <c r="F1372">
        <v>0</v>
      </c>
      <c r="G1372" t="s">
        <v>25</v>
      </c>
      <c r="H1372" t="s">
        <v>58</v>
      </c>
      <c r="I1372" t="s">
        <v>15</v>
      </c>
      <c r="J1372" t="s">
        <v>20</v>
      </c>
      <c r="K1372">
        <v>86658</v>
      </c>
      <c r="L1372">
        <v>5</v>
      </c>
      <c r="M1372" s="1">
        <v>45317</v>
      </c>
    </row>
    <row r="1373" spans="1:13" x14ac:dyDescent="0.35">
      <c r="A1373" t="s">
        <v>2011</v>
      </c>
      <c r="B1373" t="s">
        <v>1598</v>
      </c>
      <c r="C1373" t="s">
        <v>130</v>
      </c>
      <c r="D1373">
        <v>48</v>
      </c>
      <c r="E1373">
        <v>48</v>
      </c>
      <c r="F1373">
        <v>0</v>
      </c>
      <c r="G1373" t="s">
        <v>14</v>
      </c>
      <c r="H1373" t="s">
        <v>99</v>
      </c>
      <c r="I1373" t="s">
        <v>2153</v>
      </c>
      <c r="J1373" t="s">
        <v>16</v>
      </c>
      <c r="L1373">
        <v>5</v>
      </c>
      <c r="M1373" s="1">
        <v>45324</v>
      </c>
    </row>
    <row r="1374" spans="1:13" x14ac:dyDescent="0.35">
      <c r="A1374" t="s">
        <v>2012</v>
      </c>
      <c r="B1374" t="s">
        <v>1888</v>
      </c>
      <c r="C1374" t="s">
        <v>172</v>
      </c>
      <c r="D1374">
        <v>31</v>
      </c>
      <c r="E1374">
        <v>31</v>
      </c>
      <c r="F1374">
        <v>0</v>
      </c>
      <c r="G1374" t="s">
        <v>25</v>
      </c>
      <c r="H1374" t="s">
        <v>32</v>
      </c>
      <c r="I1374" t="s">
        <v>105</v>
      </c>
      <c r="J1374" t="s">
        <v>26</v>
      </c>
      <c r="L1374">
        <v>6</v>
      </c>
      <c r="M1374" s="1">
        <v>45461</v>
      </c>
    </row>
    <row r="1375" spans="1:13" x14ac:dyDescent="0.35">
      <c r="A1375" t="s">
        <v>2013</v>
      </c>
      <c r="B1375" t="s">
        <v>708</v>
      </c>
      <c r="C1375" t="s">
        <v>130</v>
      </c>
      <c r="D1375">
        <v>25</v>
      </c>
      <c r="E1375">
        <v>25</v>
      </c>
      <c r="F1375">
        <v>0</v>
      </c>
      <c r="G1375" t="s">
        <v>25</v>
      </c>
      <c r="H1375" t="s">
        <v>19</v>
      </c>
      <c r="I1375" t="s">
        <v>2153</v>
      </c>
      <c r="J1375" t="s">
        <v>26</v>
      </c>
      <c r="L1375">
        <v>4</v>
      </c>
      <c r="M1375" s="1">
        <v>45557</v>
      </c>
    </row>
    <row r="1376" spans="1:13" x14ac:dyDescent="0.35">
      <c r="A1376" t="s">
        <v>2014</v>
      </c>
      <c r="B1376" t="s">
        <v>935</v>
      </c>
      <c r="C1376" t="s">
        <v>154</v>
      </c>
      <c r="D1376">
        <v>25</v>
      </c>
      <c r="E1376">
        <v>25</v>
      </c>
      <c r="F1376">
        <v>0</v>
      </c>
      <c r="G1376" t="s">
        <v>25</v>
      </c>
      <c r="H1376" t="s">
        <v>19</v>
      </c>
      <c r="I1376" t="s">
        <v>15</v>
      </c>
      <c r="J1376" t="s">
        <v>37</v>
      </c>
      <c r="K1376">
        <v>30000</v>
      </c>
      <c r="L1376">
        <v>6</v>
      </c>
      <c r="M1376" s="1">
        <v>45323</v>
      </c>
    </row>
    <row r="1377" spans="1:13" x14ac:dyDescent="0.35">
      <c r="A1377" t="s">
        <v>2015</v>
      </c>
      <c r="B1377" t="s">
        <v>141</v>
      </c>
      <c r="C1377" t="s">
        <v>117</v>
      </c>
      <c r="D1377">
        <v>13</v>
      </c>
      <c r="E1377">
        <v>13</v>
      </c>
      <c r="F1377">
        <v>0</v>
      </c>
      <c r="G1377" t="s">
        <v>14</v>
      </c>
      <c r="H1377" t="s">
        <v>99</v>
      </c>
      <c r="I1377" t="s">
        <v>2153</v>
      </c>
      <c r="J1377" t="s">
        <v>26</v>
      </c>
      <c r="L1377">
        <v>9</v>
      </c>
      <c r="M1377" s="1">
        <v>45360</v>
      </c>
    </row>
    <row r="1378" spans="1:13" x14ac:dyDescent="0.35">
      <c r="A1378" t="s">
        <v>2016</v>
      </c>
      <c r="B1378" t="s">
        <v>2017</v>
      </c>
      <c r="C1378" t="s">
        <v>119</v>
      </c>
      <c r="D1378">
        <v>4</v>
      </c>
      <c r="E1378">
        <v>4</v>
      </c>
      <c r="F1378">
        <v>0</v>
      </c>
      <c r="G1378" t="s">
        <v>14</v>
      </c>
      <c r="H1378" t="s">
        <v>99</v>
      </c>
      <c r="I1378" t="s">
        <v>88</v>
      </c>
      <c r="J1378" t="s">
        <v>26</v>
      </c>
      <c r="L1378">
        <v>9</v>
      </c>
      <c r="M1378" s="1">
        <v>45529</v>
      </c>
    </row>
    <row r="1379" spans="1:13" x14ac:dyDescent="0.35">
      <c r="A1379" t="s">
        <v>2018</v>
      </c>
      <c r="B1379" t="s">
        <v>2019</v>
      </c>
      <c r="C1379" t="s">
        <v>13</v>
      </c>
      <c r="D1379">
        <v>31</v>
      </c>
      <c r="E1379">
        <v>31</v>
      </c>
      <c r="F1379">
        <v>0</v>
      </c>
      <c r="G1379" t="s">
        <v>14</v>
      </c>
      <c r="H1379" t="s">
        <v>32</v>
      </c>
      <c r="I1379" t="s">
        <v>2153</v>
      </c>
      <c r="J1379" t="s">
        <v>40</v>
      </c>
      <c r="L1379">
        <v>3</v>
      </c>
      <c r="M1379" s="1">
        <v>45507</v>
      </c>
    </row>
    <row r="1380" spans="1:13" x14ac:dyDescent="0.35">
      <c r="A1380" t="s">
        <v>2020</v>
      </c>
      <c r="B1380" t="s">
        <v>708</v>
      </c>
      <c r="C1380" t="s">
        <v>45</v>
      </c>
      <c r="D1380">
        <v>49</v>
      </c>
      <c r="E1380">
        <v>49</v>
      </c>
      <c r="F1380">
        <v>0</v>
      </c>
      <c r="G1380" t="s">
        <v>25</v>
      </c>
      <c r="H1380" t="s">
        <v>32</v>
      </c>
      <c r="I1380" t="s">
        <v>15</v>
      </c>
      <c r="J1380" t="s">
        <v>16</v>
      </c>
      <c r="L1380">
        <v>2</v>
      </c>
      <c r="M1380" s="1">
        <v>45555</v>
      </c>
    </row>
    <row r="1381" spans="1:13" x14ac:dyDescent="0.35">
      <c r="A1381" t="s">
        <v>2021</v>
      </c>
      <c r="B1381" t="s">
        <v>629</v>
      </c>
      <c r="C1381" t="s">
        <v>119</v>
      </c>
      <c r="D1381">
        <v>25</v>
      </c>
      <c r="E1381">
        <v>25</v>
      </c>
      <c r="F1381">
        <v>0</v>
      </c>
      <c r="G1381" t="s">
        <v>14</v>
      </c>
      <c r="H1381" t="s">
        <v>58</v>
      </c>
      <c r="I1381" t="s">
        <v>88</v>
      </c>
      <c r="J1381" t="s">
        <v>16</v>
      </c>
      <c r="L1381">
        <v>3</v>
      </c>
      <c r="M1381" s="1">
        <v>45519</v>
      </c>
    </row>
    <row r="1382" spans="1:13" x14ac:dyDescent="0.35">
      <c r="A1382" t="s">
        <v>2022</v>
      </c>
      <c r="B1382" t="s">
        <v>813</v>
      </c>
      <c r="C1382" t="s">
        <v>117</v>
      </c>
      <c r="D1382">
        <v>29</v>
      </c>
      <c r="E1382">
        <v>29</v>
      </c>
      <c r="F1382">
        <v>0</v>
      </c>
      <c r="G1382" t="s">
        <v>14</v>
      </c>
      <c r="H1382" t="s">
        <v>32</v>
      </c>
      <c r="I1382" t="s">
        <v>15</v>
      </c>
      <c r="J1382" t="s">
        <v>37</v>
      </c>
      <c r="K1382">
        <v>57551</v>
      </c>
      <c r="L1382">
        <v>8</v>
      </c>
      <c r="M1382" s="1">
        <v>45355</v>
      </c>
    </row>
    <row r="1383" spans="1:13" x14ac:dyDescent="0.35">
      <c r="A1383" t="s">
        <v>2023</v>
      </c>
      <c r="B1383" t="s">
        <v>249</v>
      </c>
      <c r="C1383" t="s">
        <v>184</v>
      </c>
      <c r="D1383">
        <v>17</v>
      </c>
      <c r="E1383">
        <v>17</v>
      </c>
      <c r="F1383">
        <v>0</v>
      </c>
      <c r="G1383" t="s">
        <v>14</v>
      </c>
      <c r="H1383" t="s">
        <v>32</v>
      </c>
      <c r="I1383" t="s">
        <v>105</v>
      </c>
      <c r="J1383" t="s">
        <v>26</v>
      </c>
      <c r="L1383">
        <v>2</v>
      </c>
      <c r="M1383" s="1">
        <v>45363</v>
      </c>
    </row>
    <row r="1384" spans="1:13" x14ac:dyDescent="0.35">
      <c r="A1384" t="s">
        <v>2024</v>
      </c>
      <c r="B1384" t="s">
        <v>2025</v>
      </c>
      <c r="C1384" t="s">
        <v>69</v>
      </c>
      <c r="D1384">
        <v>28</v>
      </c>
      <c r="E1384">
        <v>28</v>
      </c>
      <c r="F1384">
        <v>0</v>
      </c>
      <c r="G1384" t="s">
        <v>14</v>
      </c>
      <c r="H1384" t="s">
        <v>99</v>
      </c>
      <c r="I1384" t="s">
        <v>105</v>
      </c>
      <c r="J1384" t="s">
        <v>37</v>
      </c>
      <c r="K1384">
        <v>49873</v>
      </c>
      <c r="L1384">
        <v>3</v>
      </c>
      <c r="M1384" s="1">
        <v>45469</v>
      </c>
    </row>
    <row r="1385" spans="1:13" x14ac:dyDescent="0.35">
      <c r="A1385" t="s">
        <v>2026</v>
      </c>
      <c r="B1385" t="s">
        <v>1055</v>
      </c>
      <c r="C1385" t="s">
        <v>130</v>
      </c>
      <c r="D1385">
        <v>44</v>
      </c>
      <c r="E1385">
        <v>44</v>
      </c>
      <c r="F1385">
        <v>0</v>
      </c>
      <c r="G1385" t="s">
        <v>14</v>
      </c>
      <c r="H1385" t="s">
        <v>32</v>
      </c>
      <c r="I1385" t="s">
        <v>105</v>
      </c>
      <c r="J1385" t="s">
        <v>20</v>
      </c>
      <c r="K1385">
        <v>36579</v>
      </c>
      <c r="L1385">
        <v>5</v>
      </c>
      <c r="M1385" s="1">
        <v>45324</v>
      </c>
    </row>
    <row r="1386" spans="1:13" x14ac:dyDescent="0.35">
      <c r="A1386" t="s">
        <v>2027</v>
      </c>
      <c r="B1386" t="s">
        <v>1807</v>
      </c>
      <c r="C1386" t="s">
        <v>184</v>
      </c>
      <c r="D1386">
        <v>30</v>
      </c>
      <c r="E1386">
        <v>30</v>
      </c>
      <c r="F1386">
        <v>0</v>
      </c>
      <c r="G1386" t="s">
        <v>25</v>
      </c>
      <c r="H1386" t="s">
        <v>19</v>
      </c>
      <c r="I1386" t="s">
        <v>105</v>
      </c>
      <c r="J1386" t="s">
        <v>20</v>
      </c>
      <c r="K1386">
        <v>120860</v>
      </c>
      <c r="L1386">
        <v>5</v>
      </c>
      <c r="M1386" s="1">
        <v>45346</v>
      </c>
    </row>
    <row r="1387" spans="1:13" x14ac:dyDescent="0.35">
      <c r="A1387" t="s">
        <v>2028</v>
      </c>
      <c r="B1387" t="s">
        <v>2029</v>
      </c>
      <c r="C1387" t="s">
        <v>45</v>
      </c>
      <c r="D1387">
        <v>14</v>
      </c>
      <c r="E1387">
        <v>14</v>
      </c>
      <c r="F1387">
        <v>0</v>
      </c>
      <c r="G1387" t="s">
        <v>25</v>
      </c>
      <c r="H1387" t="s">
        <v>99</v>
      </c>
      <c r="I1387" t="s">
        <v>105</v>
      </c>
      <c r="J1387" t="s">
        <v>26</v>
      </c>
      <c r="L1387">
        <v>5</v>
      </c>
      <c r="M1387" s="1">
        <v>45581</v>
      </c>
    </row>
    <row r="1388" spans="1:13" x14ac:dyDescent="0.35">
      <c r="A1388" t="s">
        <v>2030</v>
      </c>
      <c r="B1388" t="s">
        <v>627</v>
      </c>
      <c r="C1388" t="s">
        <v>184</v>
      </c>
      <c r="D1388">
        <v>39</v>
      </c>
      <c r="E1388">
        <v>39</v>
      </c>
      <c r="F1388">
        <v>0</v>
      </c>
      <c r="G1388" t="s">
        <v>25</v>
      </c>
      <c r="H1388" t="s">
        <v>32</v>
      </c>
      <c r="I1388" t="s">
        <v>2154</v>
      </c>
      <c r="J1388" t="s">
        <v>37</v>
      </c>
      <c r="K1388">
        <v>118983</v>
      </c>
      <c r="L1388">
        <v>5</v>
      </c>
      <c r="M1388" s="1">
        <v>45525</v>
      </c>
    </row>
    <row r="1389" spans="1:13" x14ac:dyDescent="0.35">
      <c r="A1389" t="s">
        <v>2031</v>
      </c>
      <c r="B1389" t="s">
        <v>338</v>
      </c>
      <c r="C1389" t="s">
        <v>119</v>
      </c>
      <c r="D1389">
        <v>30</v>
      </c>
      <c r="E1389">
        <v>30</v>
      </c>
      <c r="F1389">
        <v>0</v>
      </c>
      <c r="G1389" t="s">
        <v>25</v>
      </c>
      <c r="H1389" t="s">
        <v>32</v>
      </c>
      <c r="I1389" t="s">
        <v>105</v>
      </c>
      <c r="J1389" t="s">
        <v>26</v>
      </c>
      <c r="L1389">
        <v>6</v>
      </c>
      <c r="M1389" s="1">
        <v>45319</v>
      </c>
    </row>
    <row r="1390" spans="1:13" x14ac:dyDescent="0.35">
      <c r="A1390" t="s">
        <v>2032</v>
      </c>
      <c r="B1390" t="s">
        <v>989</v>
      </c>
      <c r="C1390" t="s">
        <v>130</v>
      </c>
      <c r="D1390">
        <v>22</v>
      </c>
      <c r="E1390">
        <v>22</v>
      </c>
      <c r="F1390">
        <v>0</v>
      </c>
      <c r="G1390" t="s">
        <v>14</v>
      </c>
      <c r="H1390" t="s">
        <v>99</v>
      </c>
      <c r="I1390" t="s">
        <v>105</v>
      </c>
      <c r="J1390" t="s">
        <v>37</v>
      </c>
      <c r="K1390">
        <v>30000</v>
      </c>
      <c r="L1390">
        <v>1</v>
      </c>
      <c r="M1390" s="1">
        <v>45424</v>
      </c>
    </row>
    <row r="1391" spans="1:13" x14ac:dyDescent="0.35">
      <c r="A1391" t="s">
        <v>2033</v>
      </c>
      <c r="B1391" t="s">
        <v>1265</v>
      </c>
      <c r="C1391" t="s">
        <v>154</v>
      </c>
      <c r="D1391">
        <v>66</v>
      </c>
      <c r="E1391">
        <v>66</v>
      </c>
      <c r="F1391">
        <v>0</v>
      </c>
      <c r="G1391" t="s">
        <v>14</v>
      </c>
      <c r="H1391" t="s">
        <v>32</v>
      </c>
      <c r="I1391" t="s">
        <v>88</v>
      </c>
      <c r="J1391" t="s">
        <v>26</v>
      </c>
      <c r="L1391">
        <v>3</v>
      </c>
      <c r="M1391" s="1">
        <v>45312</v>
      </c>
    </row>
    <row r="1392" spans="1:13" x14ac:dyDescent="0.35">
      <c r="A1392" t="s">
        <v>2034</v>
      </c>
      <c r="B1392" t="s">
        <v>79</v>
      </c>
      <c r="C1392" t="s">
        <v>45</v>
      </c>
      <c r="D1392">
        <v>31</v>
      </c>
      <c r="E1392">
        <v>31</v>
      </c>
      <c r="F1392">
        <v>0</v>
      </c>
      <c r="G1392" t="s">
        <v>25</v>
      </c>
      <c r="H1392" t="s">
        <v>58</v>
      </c>
      <c r="I1392" t="s">
        <v>88</v>
      </c>
      <c r="J1392" t="s">
        <v>16</v>
      </c>
      <c r="L1392">
        <v>2</v>
      </c>
      <c r="M1392" s="1">
        <v>45370</v>
      </c>
    </row>
    <row r="1393" spans="1:13" x14ac:dyDescent="0.35">
      <c r="A1393" t="s">
        <v>2035</v>
      </c>
      <c r="B1393" t="s">
        <v>608</v>
      </c>
      <c r="C1393" t="s">
        <v>29</v>
      </c>
      <c r="D1393">
        <v>39</v>
      </c>
      <c r="E1393">
        <v>39</v>
      </c>
      <c r="F1393">
        <v>0</v>
      </c>
      <c r="G1393" t="s">
        <v>25</v>
      </c>
      <c r="H1393" t="s">
        <v>19</v>
      </c>
      <c r="I1393" t="s">
        <v>105</v>
      </c>
      <c r="J1393" t="s">
        <v>26</v>
      </c>
      <c r="L1393">
        <v>2</v>
      </c>
      <c r="M1393" s="1">
        <v>45337</v>
      </c>
    </row>
    <row r="1394" spans="1:13" x14ac:dyDescent="0.35">
      <c r="A1394" t="s">
        <v>2036</v>
      </c>
      <c r="B1394" t="s">
        <v>721</v>
      </c>
      <c r="C1394" t="s">
        <v>69</v>
      </c>
      <c r="D1394">
        <v>21</v>
      </c>
      <c r="E1394">
        <v>21</v>
      </c>
      <c r="F1394">
        <v>0</v>
      </c>
      <c r="G1394" t="s">
        <v>14</v>
      </c>
      <c r="H1394" t="s">
        <v>19</v>
      </c>
      <c r="I1394" t="s">
        <v>15</v>
      </c>
      <c r="J1394" t="s">
        <v>16</v>
      </c>
      <c r="L1394">
        <v>4</v>
      </c>
      <c r="M1394" s="1">
        <v>45332</v>
      </c>
    </row>
    <row r="1395" spans="1:13" x14ac:dyDescent="0.35">
      <c r="A1395" t="s">
        <v>2037</v>
      </c>
      <c r="B1395" t="s">
        <v>1068</v>
      </c>
      <c r="C1395" t="s">
        <v>130</v>
      </c>
      <c r="D1395">
        <v>32</v>
      </c>
      <c r="E1395">
        <v>32</v>
      </c>
      <c r="F1395">
        <v>0</v>
      </c>
      <c r="G1395" t="s">
        <v>14</v>
      </c>
      <c r="H1395" t="s">
        <v>58</v>
      </c>
      <c r="I1395" t="s">
        <v>105</v>
      </c>
      <c r="J1395" t="s">
        <v>26</v>
      </c>
      <c r="L1395">
        <v>3</v>
      </c>
      <c r="M1395" s="1">
        <v>45375</v>
      </c>
    </row>
    <row r="1396" spans="1:13" x14ac:dyDescent="0.35">
      <c r="A1396" t="s">
        <v>2038</v>
      </c>
      <c r="B1396" t="s">
        <v>1223</v>
      </c>
      <c r="C1396" t="s">
        <v>154</v>
      </c>
      <c r="D1396">
        <v>27</v>
      </c>
      <c r="E1396">
        <v>27</v>
      </c>
      <c r="F1396">
        <v>0</v>
      </c>
      <c r="G1396" t="s">
        <v>14</v>
      </c>
      <c r="H1396" t="s">
        <v>99</v>
      </c>
      <c r="I1396" t="s">
        <v>15</v>
      </c>
      <c r="J1396" t="s">
        <v>26</v>
      </c>
      <c r="L1396">
        <v>3</v>
      </c>
      <c r="M1396" s="1">
        <v>45361</v>
      </c>
    </row>
    <row r="1397" spans="1:13" x14ac:dyDescent="0.35">
      <c r="A1397" t="s">
        <v>2039</v>
      </c>
      <c r="B1397" t="s">
        <v>1031</v>
      </c>
      <c r="C1397" t="s">
        <v>117</v>
      </c>
      <c r="D1397">
        <v>51</v>
      </c>
      <c r="E1397">
        <v>51</v>
      </c>
      <c r="F1397">
        <v>0</v>
      </c>
      <c r="G1397" t="s">
        <v>25</v>
      </c>
      <c r="H1397" t="s">
        <v>19</v>
      </c>
      <c r="I1397" t="s">
        <v>2153</v>
      </c>
      <c r="J1397" t="s">
        <v>26</v>
      </c>
      <c r="L1397">
        <v>2</v>
      </c>
      <c r="M1397" s="1">
        <v>45312</v>
      </c>
    </row>
    <row r="1398" spans="1:13" x14ac:dyDescent="0.35">
      <c r="A1398" t="s">
        <v>2040</v>
      </c>
      <c r="B1398" t="s">
        <v>1787</v>
      </c>
      <c r="C1398" t="s">
        <v>119</v>
      </c>
      <c r="D1398">
        <v>35</v>
      </c>
      <c r="E1398">
        <v>35</v>
      </c>
      <c r="F1398">
        <v>0</v>
      </c>
      <c r="G1398" t="s">
        <v>25</v>
      </c>
      <c r="H1398" t="s">
        <v>58</v>
      </c>
      <c r="I1398" t="s">
        <v>15</v>
      </c>
      <c r="J1398" t="s">
        <v>40</v>
      </c>
      <c r="L1398">
        <v>9</v>
      </c>
      <c r="M1398" s="1">
        <v>45534</v>
      </c>
    </row>
    <row r="1399" spans="1:13" x14ac:dyDescent="0.35">
      <c r="A1399" t="s">
        <v>2041</v>
      </c>
      <c r="B1399" t="s">
        <v>374</v>
      </c>
      <c r="C1399" t="s">
        <v>13</v>
      </c>
      <c r="D1399">
        <v>21</v>
      </c>
      <c r="E1399">
        <v>21</v>
      </c>
      <c r="F1399">
        <v>0</v>
      </c>
      <c r="G1399" t="s">
        <v>14</v>
      </c>
      <c r="H1399" t="s">
        <v>19</v>
      </c>
      <c r="I1399" t="s">
        <v>15</v>
      </c>
      <c r="J1399" t="s">
        <v>16</v>
      </c>
      <c r="L1399">
        <v>1</v>
      </c>
      <c r="M1399" s="1">
        <v>45308</v>
      </c>
    </row>
    <row r="1400" spans="1:13" x14ac:dyDescent="0.35">
      <c r="A1400" t="s">
        <v>2042</v>
      </c>
      <c r="B1400" t="s">
        <v>1744</v>
      </c>
      <c r="C1400" t="s">
        <v>29</v>
      </c>
      <c r="D1400">
        <v>54</v>
      </c>
      <c r="E1400">
        <v>54</v>
      </c>
      <c r="F1400">
        <v>0</v>
      </c>
      <c r="G1400" t="s">
        <v>14</v>
      </c>
      <c r="H1400" t="s">
        <v>58</v>
      </c>
      <c r="I1400" t="s">
        <v>15</v>
      </c>
      <c r="J1400" t="s">
        <v>20</v>
      </c>
      <c r="K1400">
        <v>30000</v>
      </c>
      <c r="L1400">
        <v>2</v>
      </c>
      <c r="M1400" s="1">
        <v>45361</v>
      </c>
    </row>
    <row r="1401" spans="1:13" x14ac:dyDescent="0.35">
      <c r="A1401" t="s">
        <v>2043</v>
      </c>
      <c r="B1401" t="s">
        <v>1134</v>
      </c>
      <c r="C1401" t="s">
        <v>29</v>
      </c>
      <c r="D1401">
        <v>32</v>
      </c>
      <c r="E1401">
        <v>32</v>
      </c>
      <c r="F1401">
        <v>0</v>
      </c>
      <c r="G1401" t="s">
        <v>25</v>
      </c>
      <c r="H1401" t="s">
        <v>58</v>
      </c>
      <c r="I1401" t="s">
        <v>15</v>
      </c>
      <c r="J1401" t="s">
        <v>16</v>
      </c>
      <c r="L1401">
        <v>8</v>
      </c>
      <c r="M1401" s="1">
        <v>45320</v>
      </c>
    </row>
    <row r="1402" spans="1:13" x14ac:dyDescent="0.35">
      <c r="A1402" t="s">
        <v>2044</v>
      </c>
      <c r="B1402" t="s">
        <v>2045</v>
      </c>
      <c r="C1402" t="s">
        <v>184</v>
      </c>
      <c r="D1402">
        <v>44</v>
      </c>
      <c r="E1402">
        <v>44</v>
      </c>
      <c r="F1402">
        <v>0</v>
      </c>
      <c r="G1402" t="s">
        <v>14</v>
      </c>
      <c r="H1402" t="s">
        <v>32</v>
      </c>
      <c r="I1402" t="s">
        <v>105</v>
      </c>
      <c r="J1402" t="s">
        <v>37</v>
      </c>
      <c r="K1402">
        <v>89110</v>
      </c>
      <c r="L1402">
        <v>6</v>
      </c>
      <c r="M1402" s="1">
        <v>45373</v>
      </c>
    </row>
    <row r="1403" spans="1:13" x14ac:dyDescent="0.35">
      <c r="A1403" t="s">
        <v>2046</v>
      </c>
      <c r="B1403" t="s">
        <v>1390</v>
      </c>
      <c r="C1403" t="s">
        <v>119</v>
      </c>
      <c r="D1403">
        <v>21</v>
      </c>
      <c r="E1403">
        <v>21</v>
      </c>
      <c r="F1403">
        <v>0</v>
      </c>
      <c r="G1403" t="s">
        <v>25</v>
      </c>
      <c r="H1403" t="s">
        <v>32</v>
      </c>
      <c r="I1403" t="s">
        <v>105</v>
      </c>
      <c r="J1403" t="s">
        <v>16</v>
      </c>
      <c r="L1403">
        <v>4</v>
      </c>
      <c r="M1403" s="1">
        <v>45443</v>
      </c>
    </row>
    <row r="1404" spans="1:13" x14ac:dyDescent="0.35">
      <c r="A1404" t="s">
        <v>2047</v>
      </c>
      <c r="B1404" t="s">
        <v>2048</v>
      </c>
      <c r="C1404" t="s">
        <v>154</v>
      </c>
      <c r="D1404">
        <v>58</v>
      </c>
      <c r="E1404">
        <v>58</v>
      </c>
      <c r="F1404">
        <v>0</v>
      </c>
      <c r="G1404" t="s">
        <v>25</v>
      </c>
      <c r="H1404" t="s">
        <v>58</v>
      </c>
      <c r="I1404" t="s">
        <v>2154</v>
      </c>
      <c r="J1404" t="s">
        <v>40</v>
      </c>
      <c r="L1404">
        <v>1</v>
      </c>
      <c r="M1404" s="1">
        <v>45445</v>
      </c>
    </row>
    <row r="1405" spans="1:13" x14ac:dyDescent="0.35">
      <c r="A1405" t="s">
        <v>2206</v>
      </c>
      <c r="B1405" t="s">
        <v>511</v>
      </c>
      <c r="C1405" t="s">
        <v>69</v>
      </c>
      <c r="D1405">
        <v>1</v>
      </c>
      <c r="E1405">
        <v>1</v>
      </c>
      <c r="F1405">
        <v>0</v>
      </c>
      <c r="G1405" t="s">
        <v>25</v>
      </c>
      <c r="H1405" t="s">
        <v>99</v>
      </c>
      <c r="I1405" t="s">
        <v>105</v>
      </c>
      <c r="J1405" t="s">
        <v>26</v>
      </c>
      <c r="L1405">
        <v>9</v>
      </c>
      <c r="M1405" s="1">
        <v>45582</v>
      </c>
    </row>
    <row r="1406" spans="1:13" x14ac:dyDescent="0.35">
      <c r="A1406" t="s">
        <v>2049</v>
      </c>
      <c r="B1406" t="s">
        <v>1291</v>
      </c>
      <c r="C1406" t="s">
        <v>69</v>
      </c>
      <c r="D1406">
        <v>21</v>
      </c>
      <c r="E1406">
        <v>21</v>
      </c>
      <c r="F1406">
        <v>0</v>
      </c>
      <c r="G1406" t="s">
        <v>25</v>
      </c>
      <c r="H1406" t="s">
        <v>58</v>
      </c>
      <c r="I1406" t="s">
        <v>2153</v>
      </c>
      <c r="J1406" t="s">
        <v>40</v>
      </c>
      <c r="L1406">
        <v>2</v>
      </c>
      <c r="M1406" s="1">
        <v>45579</v>
      </c>
    </row>
    <row r="1407" spans="1:13" x14ac:dyDescent="0.35">
      <c r="A1407" t="s">
        <v>2050</v>
      </c>
      <c r="B1407" t="s">
        <v>2051</v>
      </c>
      <c r="C1407" t="s">
        <v>119</v>
      </c>
      <c r="D1407">
        <v>25</v>
      </c>
      <c r="E1407">
        <v>25</v>
      </c>
      <c r="F1407">
        <v>0</v>
      </c>
      <c r="G1407" t="s">
        <v>14</v>
      </c>
      <c r="H1407" t="s">
        <v>99</v>
      </c>
      <c r="I1407" t="s">
        <v>2153</v>
      </c>
      <c r="J1407" t="s">
        <v>26</v>
      </c>
      <c r="L1407">
        <v>9</v>
      </c>
      <c r="M1407" s="1">
        <v>45331</v>
      </c>
    </row>
    <row r="1408" spans="1:13" x14ac:dyDescent="0.35">
      <c r="A1408" t="s">
        <v>2052</v>
      </c>
      <c r="B1408" t="s">
        <v>1613</v>
      </c>
      <c r="C1408" t="s">
        <v>130</v>
      </c>
      <c r="D1408">
        <v>38</v>
      </c>
      <c r="E1408">
        <v>38</v>
      </c>
      <c r="F1408">
        <v>0</v>
      </c>
      <c r="G1408" t="s">
        <v>14</v>
      </c>
      <c r="H1408" t="s">
        <v>58</v>
      </c>
      <c r="I1408" t="s">
        <v>15</v>
      </c>
      <c r="J1408" t="s">
        <v>37</v>
      </c>
      <c r="K1408">
        <v>80831</v>
      </c>
      <c r="L1408">
        <v>5</v>
      </c>
      <c r="M1408" s="1">
        <v>45392</v>
      </c>
    </row>
    <row r="1409" spans="1:13" x14ac:dyDescent="0.35">
      <c r="A1409" t="s">
        <v>2053</v>
      </c>
      <c r="B1409" t="s">
        <v>1225</v>
      </c>
      <c r="C1409" t="s">
        <v>172</v>
      </c>
      <c r="D1409">
        <v>35</v>
      </c>
      <c r="E1409">
        <v>35</v>
      </c>
      <c r="F1409">
        <v>0</v>
      </c>
      <c r="G1409" t="s">
        <v>14</v>
      </c>
      <c r="H1409" t="s">
        <v>58</v>
      </c>
      <c r="I1409" t="s">
        <v>88</v>
      </c>
      <c r="J1409" t="s">
        <v>40</v>
      </c>
      <c r="L1409">
        <v>1</v>
      </c>
      <c r="M1409" s="1">
        <v>45327</v>
      </c>
    </row>
    <row r="1410" spans="1:13" x14ac:dyDescent="0.35">
      <c r="A1410" t="s">
        <v>2054</v>
      </c>
      <c r="B1410" t="s">
        <v>612</v>
      </c>
      <c r="C1410" t="s">
        <v>130</v>
      </c>
      <c r="D1410">
        <v>55</v>
      </c>
      <c r="E1410">
        <v>55</v>
      </c>
      <c r="F1410">
        <v>0</v>
      </c>
      <c r="G1410" t="s">
        <v>25</v>
      </c>
      <c r="H1410" t="s">
        <v>99</v>
      </c>
      <c r="I1410" t="s">
        <v>88</v>
      </c>
      <c r="J1410" t="s">
        <v>37</v>
      </c>
      <c r="K1410">
        <v>87165</v>
      </c>
      <c r="L1410">
        <v>7</v>
      </c>
      <c r="M1410" s="1">
        <v>45549</v>
      </c>
    </row>
    <row r="1411" spans="1:13" x14ac:dyDescent="0.35">
      <c r="A1411" t="s">
        <v>2055</v>
      </c>
      <c r="B1411" t="s">
        <v>1594</v>
      </c>
      <c r="C1411" t="s">
        <v>117</v>
      </c>
      <c r="D1411">
        <v>17</v>
      </c>
      <c r="E1411">
        <v>17</v>
      </c>
      <c r="F1411">
        <v>0</v>
      </c>
      <c r="G1411" t="s">
        <v>25</v>
      </c>
      <c r="H1411" t="s">
        <v>99</v>
      </c>
      <c r="I1411" t="s">
        <v>105</v>
      </c>
      <c r="J1411" t="s">
        <v>37</v>
      </c>
      <c r="K1411">
        <v>114297</v>
      </c>
      <c r="L1411">
        <v>7</v>
      </c>
      <c r="M1411" s="1">
        <v>45487</v>
      </c>
    </row>
    <row r="1412" spans="1:13" x14ac:dyDescent="0.35">
      <c r="A1412" t="s">
        <v>2056</v>
      </c>
      <c r="B1412" t="s">
        <v>28</v>
      </c>
      <c r="C1412" t="s">
        <v>29</v>
      </c>
      <c r="D1412">
        <v>65</v>
      </c>
      <c r="E1412">
        <v>65</v>
      </c>
      <c r="F1412">
        <v>0</v>
      </c>
      <c r="G1412" t="s">
        <v>25</v>
      </c>
      <c r="H1412" t="s">
        <v>19</v>
      </c>
      <c r="I1412" t="s">
        <v>105</v>
      </c>
      <c r="J1412" t="s">
        <v>40</v>
      </c>
      <c r="L1412">
        <v>9</v>
      </c>
      <c r="M1412" s="1">
        <v>45474</v>
      </c>
    </row>
    <row r="1413" spans="1:13" x14ac:dyDescent="0.35">
      <c r="A1413" t="s">
        <v>2057</v>
      </c>
      <c r="B1413" t="s">
        <v>425</v>
      </c>
      <c r="C1413" t="s">
        <v>130</v>
      </c>
      <c r="D1413">
        <v>44</v>
      </c>
      <c r="E1413">
        <v>44</v>
      </c>
      <c r="F1413">
        <v>0</v>
      </c>
      <c r="G1413" t="s">
        <v>14</v>
      </c>
      <c r="H1413" t="s">
        <v>99</v>
      </c>
      <c r="I1413" t="s">
        <v>15</v>
      </c>
      <c r="J1413" t="s">
        <v>16</v>
      </c>
      <c r="L1413">
        <v>8</v>
      </c>
      <c r="M1413" s="1">
        <v>45421</v>
      </c>
    </row>
    <row r="1414" spans="1:13" x14ac:dyDescent="0.35">
      <c r="A1414" t="s">
        <v>2058</v>
      </c>
      <c r="B1414" t="s">
        <v>183</v>
      </c>
      <c r="C1414" t="s">
        <v>29</v>
      </c>
      <c r="D1414">
        <v>12</v>
      </c>
      <c r="E1414">
        <v>12</v>
      </c>
      <c r="F1414">
        <v>0</v>
      </c>
      <c r="G1414" t="s">
        <v>14</v>
      </c>
      <c r="H1414" t="s">
        <v>99</v>
      </c>
      <c r="I1414" t="s">
        <v>2154</v>
      </c>
      <c r="J1414" t="s">
        <v>26</v>
      </c>
      <c r="L1414">
        <v>2</v>
      </c>
      <c r="M1414" s="1">
        <v>45435</v>
      </c>
    </row>
    <row r="1415" spans="1:13" x14ac:dyDescent="0.35">
      <c r="A1415" t="s">
        <v>2059</v>
      </c>
      <c r="B1415" t="s">
        <v>557</v>
      </c>
      <c r="C1415" t="s">
        <v>119</v>
      </c>
      <c r="D1415">
        <v>53</v>
      </c>
      <c r="E1415">
        <v>53</v>
      </c>
      <c r="F1415">
        <v>0</v>
      </c>
      <c r="G1415" t="s">
        <v>14</v>
      </c>
      <c r="H1415" t="s">
        <v>99</v>
      </c>
      <c r="I1415" t="s">
        <v>15</v>
      </c>
      <c r="J1415" t="s">
        <v>26</v>
      </c>
      <c r="L1415">
        <v>5</v>
      </c>
      <c r="M1415" s="1">
        <v>45565</v>
      </c>
    </row>
    <row r="1416" spans="1:13" x14ac:dyDescent="0.35">
      <c r="A1416" t="s">
        <v>2060</v>
      </c>
      <c r="B1416" t="s">
        <v>1366</v>
      </c>
      <c r="C1416" t="s">
        <v>184</v>
      </c>
      <c r="D1416">
        <v>21</v>
      </c>
      <c r="E1416">
        <v>21</v>
      </c>
      <c r="F1416">
        <v>0</v>
      </c>
      <c r="G1416" t="s">
        <v>14</v>
      </c>
      <c r="H1416" t="s">
        <v>99</v>
      </c>
      <c r="I1416" t="s">
        <v>88</v>
      </c>
      <c r="J1416" t="s">
        <v>20</v>
      </c>
      <c r="K1416">
        <v>30000</v>
      </c>
      <c r="L1416">
        <v>7</v>
      </c>
      <c r="M1416" s="1">
        <v>45401</v>
      </c>
    </row>
    <row r="1417" spans="1:13" x14ac:dyDescent="0.35">
      <c r="A1417" t="s">
        <v>2061</v>
      </c>
      <c r="B1417" t="s">
        <v>206</v>
      </c>
      <c r="C1417" t="s">
        <v>184</v>
      </c>
      <c r="D1417">
        <v>23</v>
      </c>
      <c r="E1417">
        <v>23</v>
      </c>
      <c r="F1417">
        <v>0</v>
      </c>
      <c r="G1417" t="s">
        <v>14</v>
      </c>
      <c r="H1417" t="s">
        <v>58</v>
      </c>
      <c r="I1417" t="s">
        <v>2154</v>
      </c>
      <c r="J1417" t="s">
        <v>20</v>
      </c>
      <c r="K1417">
        <v>150840</v>
      </c>
      <c r="L1417">
        <v>7</v>
      </c>
      <c r="M1417" s="1">
        <v>45434</v>
      </c>
    </row>
    <row r="1418" spans="1:13" x14ac:dyDescent="0.35">
      <c r="A1418" t="s">
        <v>2062</v>
      </c>
      <c r="B1418" t="s">
        <v>671</v>
      </c>
      <c r="C1418" t="s">
        <v>69</v>
      </c>
      <c r="D1418">
        <v>35</v>
      </c>
      <c r="F1418">
        <v>1</v>
      </c>
      <c r="G1418" t="s">
        <v>25</v>
      </c>
      <c r="H1418" t="s">
        <v>58</v>
      </c>
      <c r="I1418" t="s">
        <v>88</v>
      </c>
      <c r="J1418" t="s">
        <v>37</v>
      </c>
      <c r="K1418">
        <v>30000</v>
      </c>
      <c r="L1418">
        <v>8</v>
      </c>
      <c r="M1418" s="1">
        <v>45503</v>
      </c>
    </row>
    <row r="1419" spans="1:13" x14ac:dyDescent="0.35">
      <c r="A1419" t="s">
        <v>2063</v>
      </c>
      <c r="B1419" t="s">
        <v>1025</v>
      </c>
      <c r="C1419" t="s">
        <v>29</v>
      </c>
      <c r="D1419">
        <v>22</v>
      </c>
      <c r="E1419">
        <v>22</v>
      </c>
      <c r="F1419">
        <v>0</v>
      </c>
      <c r="G1419" t="s">
        <v>25</v>
      </c>
      <c r="H1419" t="s">
        <v>32</v>
      </c>
      <c r="I1419" t="s">
        <v>15</v>
      </c>
      <c r="J1419" t="s">
        <v>37</v>
      </c>
      <c r="K1419">
        <v>124329</v>
      </c>
      <c r="L1419">
        <v>7</v>
      </c>
      <c r="M1419" s="1">
        <v>45494</v>
      </c>
    </row>
    <row r="1420" spans="1:13" x14ac:dyDescent="0.35">
      <c r="A1420" t="s">
        <v>2064</v>
      </c>
      <c r="B1420" t="s">
        <v>335</v>
      </c>
      <c r="C1420" t="s">
        <v>13</v>
      </c>
      <c r="D1420">
        <v>31</v>
      </c>
      <c r="E1420">
        <v>31</v>
      </c>
      <c r="F1420">
        <v>0</v>
      </c>
      <c r="G1420" t="s">
        <v>14</v>
      </c>
      <c r="H1420" t="s">
        <v>19</v>
      </c>
      <c r="I1420" t="s">
        <v>15</v>
      </c>
      <c r="J1420" t="s">
        <v>26</v>
      </c>
      <c r="L1420">
        <v>9</v>
      </c>
      <c r="M1420" s="1">
        <v>45414</v>
      </c>
    </row>
    <row r="1421" spans="1:13" x14ac:dyDescent="0.35">
      <c r="A1421" t="s">
        <v>2065</v>
      </c>
      <c r="B1421" t="s">
        <v>312</v>
      </c>
      <c r="C1421" t="s">
        <v>119</v>
      </c>
      <c r="D1421">
        <v>25</v>
      </c>
      <c r="E1421">
        <v>25</v>
      </c>
      <c r="F1421">
        <v>0</v>
      </c>
      <c r="G1421" t="s">
        <v>14</v>
      </c>
      <c r="H1421" t="s">
        <v>99</v>
      </c>
      <c r="I1421" t="s">
        <v>2153</v>
      </c>
      <c r="J1421" t="s">
        <v>26</v>
      </c>
      <c r="L1421">
        <v>9</v>
      </c>
      <c r="M1421" s="1">
        <v>45397</v>
      </c>
    </row>
    <row r="1422" spans="1:13" x14ac:dyDescent="0.35">
      <c r="A1422" t="s">
        <v>2066</v>
      </c>
      <c r="B1422" t="s">
        <v>2067</v>
      </c>
      <c r="C1422" t="s">
        <v>69</v>
      </c>
      <c r="D1422">
        <v>5</v>
      </c>
      <c r="E1422">
        <v>5</v>
      </c>
      <c r="F1422">
        <v>0</v>
      </c>
      <c r="G1422" t="s">
        <v>14</v>
      </c>
      <c r="H1422" t="s">
        <v>99</v>
      </c>
      <c r="I1422" t="s">
        <v>88</v>
      </c>
      <c r="J1422" t="s">
        <v>26</v>
      </c>
      <c r="L1422">
        <v>1</v>
      </c>
      <c r="M1422" s="1">
        <v>45297</v>
      </c>
    </row>
    <row r="1423" spans="1:13" x14ac:dyDescent="0.35">
      <c r="A1423" t="s">
        <v>2068</v>
      </c>
      <c r="B1423" t="s">
        <v>1484</v>
      </c>
      <c r="C1423" t="s">
        <v>69</v>
      </c>
      <c r="D1423">
        <v>60</v>
      </c>
      <c r="E1423">
        <v>60</v>
      </c>
      <c r="F1423">
        <v>0</v>
      </c>
      <c r="G1423" t="s">
        <v>14</v>
      </c>
      <c r="H1423" t="s">
        <v>58</v>
      </c>
      <c r="I1423" t="s">
        <v>105</v>
      </c>
      <c r="J1423" t="s">
        <v>37</v>
      </c>
      <c r="K1423">
        <v>85940</v>
      </c>
      <c r="L1423">
        <v>1</v>
      </c>
      <c r="M1423" s="1">
        <v>45437</v>
      </c>
    </row>
    <row r="1424" spans="1:13" x14ac:dyDescent="0.35">
      <c r="A1424" t="s">
        <v>2069</v>
      </c>
      <c r="B1424" t="s">
        <v>1132</v>
      </c>
      <c r="C1424" t="s">
        <v>119</v>
      </c>
      <c r="D1424">
        <v>65</v>
      </c>
      <c r="E1424">
        <v>65</v>
      </c>
      <c r="F1424">
        <v>0</v>
      </c>
      <c r="G1424" t="s">
        <v>14</v>
      </c>
      <c r="H1424" t="s">
        <v>19</v>
      </c>
      <c r="I1424" t="s">
        <v>105</v>
      </c>
      <c r="J1424" t="s">
        <v>40</v>
      </c>
      <c r="L1424">
        <v>6</v>
      </c>
      <c r="M1424" s="1">
        <v>45380</v>
      </c>
    </row>
    <row r="1425" spans="1:13" x14ac:dyDescent="0.35">
      <c r="A1425" t="s">
        <v>2070</v>
      </c>
      <c r="B1425" t="s">
        <v>385</v>
      </c>
      <c r="C1425" t="s">
        <v>184</v>
      </c>
      <c r="D1425">
        <v>28</v>
      </c>
      <c r="E1425">
        <v>28</v>
      </c>
      <c r="F1425">
        <v>0</v>
      </c>
      <c r="G1425" t="s">
        <v>25</v>
      </c>
      <c r="H1425" t="s">
        <v>58</v>
      </c>
      <c r="I1425" t="s">
        <v>105</v>
      </c>
      <c r="J1425" t="s">
        <v>26</v>
      </c>
      <c r="L1425">
        <v>2</v>
      </c>
      <c r="M1425" s="1">
        <v>45347</v>
      </c>
    </row>
    <row r="1426" spans="1:13" x14ac:dyDescent="0.35">
      <c r="A1426" t="s">
        <v>2071</v>
      </c>
      <c r="B1426" t="s">
        <v>922</v>
      </c>
      <c r="C1426" t="s">
        <v>130</v>
      </c>
      <c r="D1426">
        <v>13</v>
      </c>
      <c r="E1426">
        <v>13</v>
      </c>
      <c r="F1426">
        <v>0</v>
      </c>
      <c r="G1426" t="s">
        <v>25</v>
      </c>
      <c r="H1426" t="s">
        <v>99</v>
      </c>
      <c r="I1426" t="s">
        <v>2154</v>
      </c>
      <c r="J1426" t="s">
        <v>26</v>
      </c>
      <c r="L1426">
        <v>4</v>
      </c>
      <c r="M1426" s="1">
        <v>45631</v>
      </c>
    </row>
    <row r="1427" spans="1:13" x14ac:dyDescent="0.35">
      <c r="A1427" t="s">
        <v>2072</v>
      </c>
      <c r="B1427" t="s">
        <v>1225</v>
      </c>
      <c r="C1427" t="s">
        <v>119</v>
      </c>
      <c r="D1427">
        <v>55</v>
      </c>
      <c r="E1427">
        <v>55</v>
      </c>
      <c r="F1427">
        <v>0</v>
      </c>
      <c r="G1427" t="s">
        <v>14</v>
      </c>
      <c r="H1427" t="s">
        <v>32</v>
      </c>
      <c r="I1427" t="s">
        <v>105</v>
      </c>
      <c r="J1427" t="s">
        <v>40</v>
      </c>
      <c r="L1427">
        <v>7</v>
      </c>
      <c r="M1427" s="1">
        <v>45355</v>
      </c>
    </row>
    <row r="1428" spans="1:13" x14ac:dyDescent="0.35">
      <c r="A1428" t="s">
        <v>2073</v>
      </c>
      <c r="B1428" t="s">
        <v>876</v>
      </c>
      <c r="C1428" t="s">
        <v>69</v>
      </c>
      <c r="D1428">
        <v>49</v>
      </c>
      <c r="E1428">
        <v>49</v>
      </c>
      <c r="F1428">
        <v>0</v>
      </c>
      <c r="G1428" t="s">
        <v>14</v>
      </c>
      <c r="H1428" t="s">
        <v>19</v>
      </c>
      <c r="I1428" t="s">
        <v>88</v>
      </c>
      <c r="J1428" t="s">
        <v>40</v>
      </c>
      <c r="L1428">
        <v>6</v>
      </c>
      <c r="M1428" s="1">
        <v>45318</v>
      </c>
    </row>
    <row r="1429" spans="1:13" x14ac:dyDescent="0.35">
      <c r="A1429" t="s">
        <v>2074</v>
      </c>
      <c r="B1429" t="s">
        <v>31</v>
      </c>
      <c r="C1429" t="s">
        <v>154</v>
      </c>
      <c r="D1429">
        <v>51</v>
      </c>
      <c r="E1429">
        <v>51</v>
      </c>
      <c r="F1429">
        <v>0</v>
      </c>
      <c r="G1429" t="s">
        <v>25</v>
      </c>
      <c r="H1429" t="s">
        <v>19</v>
      </c>
      <c r="I1429" t="s">
        <v>105</v>
      </c>
      <c r="J1429" t="s">
        <v>16</v>
      </c>
      <c r="L1429">
        <v>1</v>
      </c>
      <c r="M1429" s="1">
        <v>45378</v>
      </c>
    </row>
    <row r="1430" spans="1:13" x14ac:dyDescent="0.35">
      <c r="A1430" t="s">
        <v>2075</v>
      </c>
      <c r="B1430" t="s">
        <v>393</v>
      </c>
      <c r="C1430" t="s">
        <v>154</v>
      </c>
      <c r="D1430">
        <v>30</v>
      </c>
      <c r="E1430">
        <v>30</v>
      </c>
      <c r="F1430">
        <v>0</v>
      </c>
      <c r="G1430" t="s">
        <v>14</v>
      </c>
      <c r="H1430" t="s">
        <v>99</v>
      </c>
      <c r="I1430" t="s">
        <v>105</v>
      </c>
      <c r="J1430" t="s">
        <v>20</v>
      </c>
      <c r="K1430">
        <v>42596</v>
      </c>
      <c r="L1430">
        <v>6</v>
      </c>
      <c r="M1430" s="1">
        <v>45574</v>
      </c>
    </row>
    <row r="1431" spans="1:13" x14ac:dyDescent="0.35">
      <c r="A1431" t="s">
        <v>2076</v>
      </c>
      <c r="B1431" t="s">
        <v>2077</v>
      </c>
      <c r="C1431" t="s">
        <v>172</v>
      </c>
      <c r="D1431">
        <v>10</v>
      </c>
      <c r="E1431">
        <v>10</v>
      </c>
      <c r="F1431">
        <v>0</v>
      </c>
      <c r="G1431" t="s">
        <v>14</v>
      </c>
      <c r="H1431" t="s">
        <v>99</v>
      </c>
      <c r="I1431" t="s">
        <v>15</v>
      </c>
      <c r="J1431" t="s">
        <v>26</v>
      </c>
      <c r="L1431">
        <v>3</v>
      </c>
      <c r="M1431" s="1">
        <v>45380</v>
      </c>
    </row>
    <row r="1432" spans="1:13" x14ac:dyDescent="0.35">
      <c r="A1432" t="s">
        <v>2078</v>
      </c>
      <c r="B1432" t="s">
        <v>954</v>
      </c>
      <c r="C1432" t="s">
        <v>29</v>
      </c>
      <c r="D1432">
        <v>32</v>
      </c>
      <c r="E1432">
        <v>32</v>
      </c>
      <c r="F1432">
        <v>0</v>
      </c>
      <c r="G1432" t="s">
        <v>25</v>
      </c>
      <c r="H1432" t="s">
        <v>32</v>
      </c>
      <c r="I1432" t="s">
        <v>2154</v>
      </c>
      <c r="J1432" t="s">
        <v>20</v>
      </c>
      <c r="K1432">
        <v>35349</v>
      </c>
      <c r="L1432">
        <v>4</v>
      </c>
      <c r="M1432" s="1">
        <v>45634</v>
      </c>
    </row>
    <row r="1433" spans="1:13" x14ac:dyDescent="0.35">
      <c r="A1433" t="s">
        <v>2079</v>
      </c>
      <c r="B1433" t="s">
        <v>1668</v>
      </c>
      <c r="C1433" t="s">
        <v>45</v>
      </c>
      <c r="D1433">
        <v>42</v>
      </c>
      <c r="E1433">
        <v>42</v>
      </c>
      <c r="F1433">
        <v>0</v>
      </c>
      <c r="G1433" t="s">
        <v>14</v>
      </c>
      <c r="H1433" t="s">
        <v>58</v>
      </c>
      <c r="I1433" t="s">
        <v>15</v>
      </c>
      <c r="J1433" t="s">
        <v>37</v>
      </c>
      <c r="K1433">
        <v>40711</v>
      </c>
      <c r="L1433">
        <v>3</v>
      </c>
      <c r="M1433" s="1">
        <v>45568</v>
      </c>
    </row>
    <row r="1434" spans="1:13" x14ac:dyDescent="0.35">
      <c r="A1434" t="s">
        <v>2080</v>
      </c>
      <c r="B1434" t="s">
        <v>596</v>
      </c>
      <c r="C1434" t="s">
        <v>130</v>
      </c>
      <c r="D1434">
        <v>35</v>
      </c>
      <c r="E1434">
        <v>35</v>
      </c>
      <c r="F1434">
        <v>0</v>
      </c>
      <c r="G1434" t="s">
        <v>25</v>
      </c>
      <c r="H1434" t="s">
        <v>32</v>
      </c>
      <c r="I1434" t="s">
        <v>2153</v>
      </c>
      <c r="J1434" t="s">
        <v>20</v>
      </c>
      <c r="K1434">
        <v>130244</v>
      </c>
      <c r="L1434">
        <v>2</v>
      </c>
      <c r="M1434" s="1">
        <v>45474</v>
      </c>
    </row>
    <row r="1435" spans="1:13" x14ac:dyDescent="0.35">
      <c r="A1435" t="s">
        <v>2081</v>
      </c>
      <c r="B1435" t="s">
        <v>342</v>
      </c>
      <c r="C1435" t="s">
        <v>119</v>
      </c>
      <c r="D1435">
        <v>62</v>
      </c>
      <c r="E1435">
        <v>62</v>
      </c>
      <c r="F1435">
        <v>0</v>
      </c>
      <c r="G1435" t="s">
        <v>14</v>
      </c>
      <c r="H1435" t="s">
        <v>32</v>
      </c>
      <c r="I1435" t="s">
        <v>88</v>
      </c>
      <c r="J1435" t="s">
        <v>37</v>
      </c>
      <c r="K1435">
        <v>47268</v>
      </c>
      <c r="L1435">
        <v>1</v>
      </c>
      <c r="M1435" s="1">
        <v>45397</v>
      </c>
    </row>
    <row r="1436" spans="1:13" x14ac:dyDescent="0.35">
      <c r="A1436" t="s">
        <v>2082</v>
      </c>
      <c r="B1436" t="s">
        <v>2083</v>
      </c>
      <c r="C1436" t="s">
        <v>45</v>
      </c>
      <c r="D1436">
        <v>51</v>
      </c>
      <c r="E1436">
        <v>51</v>
      </c>
      <c r="F1436">
        <v>0</v>
      </c>
      <c r="G1436" t="s">
        <v>14</v>
      </c>
      <c r="H1436" t="s">
        <v>32</v>
      </c>
      <c r="I1436" t="s">
        <v>15</v>
      </c>
      <c r="J1436" t="s">
        <v>40</v>
      </c>
      <c r="L1436">
        <v>1</v>
      </c>
      <c r="M1436" s="1">
        <v>45549</v>
      </c>
    </row>
    <row r="1437" spans="1:13" x14ac:dyDescent="0.35">
      <c r="A1437" t="s">
        <v>2084</v>
      </c>
      <c r="B1437" t="s">
        <v>269</v>
      </c>
      <c r="C1437" t="s">
        <v>45</v>
      </c>
      <c r="D1437">
        <v>40</v>
      </c>
      <c r="E1437">
        <v>40</v>
      </c>
      <c r="F1437">
        <v>0</v>
      </c>
      <c r="G1437" t="s">
        <v>14</v>
      </c>
      <c r="H1437" t="s">
        <v>99</v>
      </c>
      <c r="I1437" t="s">
        <v>105</v>
      </c>
      <c r="J1437" t="s">
        <v>26</v>
      </c>
      <c r="L1437">
        <v>7</v>
      </c>
      <c r="M1437" s="1">
        <v>45421</v>
      </c>
    </row>
    <row r="1438" spans="1:13" x14ac:dyDescent="0.35">
      <c r="A1438" t="s">
        <v>2085</v>
      </c>
      <c r="B1438" t="s">
        <v>555</v>
      </c>
      <c r="C1438" t="s">
        <v>29</v>
      </c>
      <c r="D1438">
        <v>37</v>
      </c>
      <c r="E1438">
        <v>37</v>
      </c>
      <c r="F1438">
        <v>0</v>
      </c>
      <c r="G1438" t="s">
        <v>25</v>
      </c>
      <c r="H1438" t="s">
        <v>99</v>
      </c>
      <c r="I1438" t="s">
        <v>15</v>
      </c>
      <c r="J1438" t="s">
        <v>16</v>
      </c>
      <c r="L1438">
        <v>9</v>
      </c>
      <c r="M1438" s="1">
        <v>45592</v>
      </c>
    </row>
    <row r="1439" spans="1:13" x14ac:dyDescent="0.35">
      <c r="A1439" t="s">
        <v>2086</v>
      </c>
      <c r="B1439" t="s">
        <v>75</v>
      </c>
      <c r="C1439" t="s">
        <v>184</v>
      </c>
      <c r="D1439">
        <v>50</v>
      </c>
      <c r="E1439">
        <v>50</v>
      </c>
      <c r="F1439">
        <v>0</v>
      </c>
      <c r="G1439" t="s">
        <v>25</v>
      </c>
      <c r="H1439" t="s">
        <v>32</v>
      </c>
      <c r="I1439" t="s">
        <v>88</v>
      </c>
      <c r="J1439" t="s">
        <v>37</v>
      </c>
      <c r="K1439">
        <v>45604</v>
      </c>
      <c r="L1439">
        <v>6</v>
      </c>
      <c r="M1439" s="1">
        <v>45562</v>
      </c>
    </row>
    <row r="1440" spans="1:13" x14ac:dyDescent="0.35">
      <c r="A1440" t="s">
        <v>2087</v>
      </c>
      <c r="B1440" t="s">
        <v>335</v>
      </c>
      <c r="C1440" t="s">
        <v>119</v>
      </c>
      <c r="D1440">
        <v>35</v>
      </c>
      <c r="E1440">
        <v>35</v>
      </c>
      <c r="F1440">
        <v>0</v>
      </c>
      <c r="G1440" t="s">
        <v>14</v>
      </c>
      <c r="H1440" t="s">
        <v>58</v>
      </c>
      <c r="I1440" t="s">
        <v>15</v>
      </c>
      <c r="J1440" t="s">
        <v>37</v>
      </c>
      <c r="K1440">
        <v>30000</v>
      </c>
      <c r="L1440">
        <v>7</v>
      </c>
      <c r="M1440" s="1">
        <v>45314</v>
      </c>
    </row>
    <row r="1441" spans="1:13" x14ac:dyDescent="0.35">
      <c r="A1441" t="s">
        <v>2088</v>
      </c>
      <c r="B1441" t="s">
        <v>2089</v>
      </c>
      <c r="C1441" t="s">
        <v>119</v>
      </c>
      <c r="D1441">
        <v>49</v>
      </c>
      <c r="E1441">
        <v>49</v>
      </c>
      <c r="F1441">
        <v>0</v>
      </c>
      <c r="G1441" t="s">
        <v>25</v>
      </c>
      <c r="H1441" t="s">
        <v>32</v>
      </c>
      <c r="I1441" t="s">
        <v>2154</v>
      </c>
      <c r="J1441" t="s">
        <v>26</v>
      </c>
      <c r="L1441">
        <v>5</v>
      </c>
      <c r="M1441" s="1">
        <v>45497</v>
      </c>
    </row>
    <row r="1442" spans="1:13" x14ac:dyDescent="0.35">
      <c r="A1442" t="s">
        <v>2090</v>
      </c>
      <c r="B1442" t="s">
        <v>795</v>
      </c>
      <c r="C1442" t="s">
        <v>130</v>
      </c>
      <c r="D1442">
        <v>26</v>
      </c>
      <c r="E1442">
        <v>26</v>
      </c>
      <c r="F1442">
        <v>0</v>
      </c>
      <c r="G1442" t="s">
        <v>14</v>
      </c>
      <c r="H1442" t="s">
        <v>32</v>
      </c>
      <c r="I1442" t="s">
        <v>88</v>
      </c>
      <c r="J1442" t="s">
        <v>40</v>
      </c>
      <c r="L1442">
        <v>6</v>
      </c>
      <c r="M1442" s="1">
        <v>45338</v>
      </c>
    </row>
    <row r="1443" spans="1:13" x14ac:dyDescent="0.35">
      <c r="A1443" t="s">
        <v>2091</v>
      </c>
      <c r="B1443" t="s">
        <v>1500</v>
      </c>
      <c r="C1443" t="s">
        <v>130</v>
      </c>
      <c r="D1443">
        <v>23</v>
      </c>
      <c r="E1443">
        <v>23</v>
      </c>
      <c r="F1443">
        <v>0</v>
      </c>
      <c r="G1443" t="s">
        <v>25</v>
      </c>
      <c r="H1443" t="s">
        <v>58</v>
      </c>
      <c r="I1443" t="s">
        <v>88</v>
      </c>
      <c r="J1443" t="s">
        <v>16</v>
      </c>
      <c r="L1443">
        <v>2</v>
      </c>
      <c r="M1443" s="1">
        <v>45392</v>
      </c>
    </row>
    <row r="1444" spans="1:13" x14ac:dyDescent="0.35">
      <c r="A1444" t="s">
        <v>2092</v>
      </c>
      <c r="B1444" t="s">
        <v>1897</v>
      </c>
      <c r="C1444" t="s">
        <v>69</v>
      </c>
      <c r="D1444">
        <v>42</v>
      </c>
      <c r="E1444">
        <v>42</v>
      </c>
      <c r="F1444">
        <v>0</v>
      </c>
      <c r="G1444" t="s">
        <v>14</v>
      </c>
      <c r="H1444" t="s">
        <v>99</v>
      </c>
      <c r="I1444" t="s">
        <v>105</v>
      </c>
      <c r="J1444" t="s">
        <v>16</v>
      </c>
      <c r="L1444">
        <v>9</v>
      </c>
      <c r="M1444" s="1">
        <v>45325</v>
      </c>
    </row>
    <row r="1445" spans="1:13" x14ac:dyDescent="0.35">
      <c r="A1445" t="s">
        <v>2093</v>
      </c>
      <c r="B1445" t="s">
        <v>865</v>
      </c>
      <c r="C1445" t="s">
        <v>29</v>
      </c>
      <c r="D1445">
        <v>42</v>
      </c>
      <c r="E1445">
        <v>42</v>
      </c>
      <c r="F1445">
        <v>0</v>
      </c>
      <c r="G1445" t="s">
        <v>14</v>
      </c>
      <c r="H1445" t="s">
        <v>99</v>
      </c>
      <c r="I1445" t="s">
        <v>105</v>
      </c>
      <c r="J1445" t="s">
        <v>16</v>
      </c>
      <c r="L1445">
        <v>1</v>
      </c>
      <c r="M1445" s="1">
        <v>45391</v>
      </c>
    </row>
    <row r="1446" spans="1:13" x14ac:dyDescent="0.35">
      <c r="A1446" t="s">
        <v>2094</v>
      </c>
      <c r="B1446" t="s">
        <v>2095</v>
      </c>
      <c r="C1446" t="s">
        <v>184</v>
      </c>
      <c r="D1446">
        <v>50</v>
      </c>
      <c r="E1446">
        <v>50</v>
      </c>
      <c r="F1446">
        <v>0</v>
      </c>
      <c r="G1446" t="s">
        <v>14</v>
      </c>
      <c r="H1446" t="s">
        <v>99</v>
      </c>
      <c r="I1446" t="s">
        <v>88</v>
      </c>
      <c r="J1446" t="s">
        <v>40</v>
      </c>
      <c r="L1446">
        <v>9</v>
      </c>
      <c r="M1446" s="1">
        <v>45356</v>
      </c>
    </row>
    <row r="1447" spans="1:13" x14ac:dyDescent="0.35">
      <c r="A1447" t="s">
        <v>2096</v>
      </c>
      <c r="B1447" t="s">
        <v>2097</v>
      </c>
      <c r="C1447" t="s">
        <v>154</v>
      </c>
      <c r="D1447">
        <v>24</v>
      </c>
      <c r="E1447">
        <v>24</v>
      </c>
      <c r="F1447">
        <v>0</v>
      </c>
      <c r="G1447" t="s">
        <v>25</v>
      </c>
      <c r="H1447" t="s">
        <v>99</v>
      </c>
      <c r="I1447" t="s">
        <v>105</v>
      </c>
      <c r="J1447" t="s">
        <v>26</v>
      </c>
      <c r="L1447">
        <v>5</v>
      </c>
      <c r="M1447" s="1">
        <v>45501</v>
      </c>
    </row>
    <row r="1448" spans="1:13" x14ac:dyDescent="0.35">
      <c r="A1448" t="s">
        <v>2098</v>
      </c>
      <c r="B1448" t="s">
        <v>1668</v>
      </c>
      <c r="C1448" t="s">
        <v>172</v>
      </c>
      <c r="D1448">
        <v>59</v>
      </c>
      <c r="E1448">
        <v>59</v>
      </c>
      <c r="F1448">
        <v>0</v>
      </c>
      <c r="G1448" t="s">
        <v>14</v>
      </c>
      <c r="H1448" t="s">
        <v>32</v>
      </c>
      <c r="I1448" t="s">
        <v>105</v>
      </c>
      <c r="J1448" t="s">
        <v>40</v>
      </c>
      <c r="L1448">
        <v>3</v>
      </c>
      <c r="M1448" s="1">
        <v>45355</v>
      </c>
    </row>
    <row r="1449" spans="1:13" x14ac:dyDescent="0.35">
      <c r="A1449" t="s">
        <v>2099</v>
      </c>
      <c r="B1449" t="s">
        <v>24</v>
      </c>
      <c r="C1449" t="s">
        <v>29</v>
      </c>
      <c r="D1449">
        <v>40</v>
      </c>
      <c r="E1449">
        <v>40</v>
      </c>
      <c r="F1449">
        <v>0</v>
      </c>
      <c r="G1449" t="s">
        <v>25</v>
      </c>
      <c r="H1449" t="s">
        <v>99</v>
      </c>
      <c r="I1449" t="s">
        <v>105</v>
      </c>
      <c r="J1449" t="s">
        <v>26</v>
      </c>
      <c r="L1449">
        <v>4</v>
      </c>
      <c r="M1449" s="1">
        <v>45468</v>
      </c>
    </row>
    <row r="1450" spans="1:13" x14ac:dyDescent="0.35">
      <c r="A1450" t="s">
        <v>2100</v>
      </c>
      <c r="B1450" t="s">
        <v>121</v>
      </c>
      <c r="C1450" t="s">
        <v>13</v>
      </c>
      <c r="D1450">
        <v>43</v>
      </c>
      <c r="E1450">
        <v>43</v>
      </c>
      <c r="F1450">
        <v>0</v>
      </c>
      <c r="G1450" t="s">
        <v>25</v>
      </c>
      <c r="H1450" t="s">
        <v>32</v>
      </c>
      <c r="I1450" t="s">
        <v>15</v>
      </c>
      <c r="J1450" t="s">
        <v>16</v>
      </c>
      <c r="L1450">
        <v>2</v>
      </c>
      <c r="M1450" s="1">
        <v>45552</v>
      </c>
    </row>
    <row r="1451" spans="1:13" x14ac:dyDescent="0.35">
      <c r="A1451" t="s">
        <v>2101</v>
      </c>
      <c r="B1451" t="s">
        <v>976</v>
      </c>
      <c r="C1451" t="s">
        <v>117</v>
      </c>
      <c r="D1451">
        <v>40</v>
      </c>
      <c r="E1451">
        <v>40</v>
      </c>
      <c r="F1451">
        <v>0</v>
      </c>
      <c r="G1451" t="s">
        <v>14</v>
      </c>
      <c r="H1451" t="s">
        <v>19</v>
      </c>
      <c r="I1451" t="s">
        <v>105</v>
      </c>
      <c r="J1451" t="s">
        <v>16</v>
      </c>
      <c r="L1451">
        <v>7</v>
      </c>
      <c r="M1451" s="1">
        <v>45559</v>
      </c>
    </row>
    <row r="1452" spans="1:13" x14ac:dyDescent="0.35">
      <c r="A1452" t="s">
        <v>2102</v>
      </c>
      <c r="B1452" t="s">
        <v>521</v>
      </c>
      <c r="C1452" t="s">
        <v>29</v>
      </c>
      <c r="D1452">
        <v>23</v>
      </c>
      <c r="E1452">
        <v>23</v>
      </c>
      <c r="F1452">
        <v>0</v>
      </c>
      <c r="G1452" t="s">
        <v>14</v>
      </c>
      <c r="H1452" t="s">
        <v>32</v>
      </c>
      <c r="I1452" t="s">
        <v>15</v>
      </c>
      <c r="J1452" t="s">
        <v>26</v>
      </c>
      <c r="L1452">
        <v>6</v>
      </c>
      <c r="M1452" s="1">
        <v>45354</v>
      </c>
    </row>
    <row r="1453" spans="1:13" x14ac:dyDescent="0.35">
      <c r="A1453" t="s">
        <v>2103</v>
      </c>
      <c r="B1453" t="s">
        <v>1744</v>
      </c>
      <c r="C1453" t="s">
        <v>184</v>
      </c>
      <c r="D1453">
        <v>35</v>
      </c>
      <c r="E1453">
        <v>35</v>
      </c>
      <c r="F1453">
        <v>0</v>
      </c>
      <c r="G1453" t="s">
        <v>14</v>
      </c>
      <c r="H1453" t="s">
        <v>32</v>
      </c>
      <c r="I1453" t="s">
        <v>105</v>
      </c>
      <c r="J1453" t="s">
        <v>16</v>
      </c>
      <c r="L1453">
        <v>7</v>
      </c>
      <c r="M1453" s="1">
        <v>45361</v>
      </c>
    </row>
    <row r="1454" spans="1:13" x14ac:dyDescent="0.35">
      <c r="A1454" t="s">
        <v>2104</v>
      </c>
      <c r="B1454" t="s">
        <v>116</v>
      </c>
      <c r="C1454" t="s">
        <v>69</v>
      </c>
      <c r="D1454">
        <v>50</v>
      </c>
      <c r="E1454">
        <v>50</v>
      </c>
      <c r="F1454">
        <v>0</v>
      </c>
      <c r="G1454" t="s">
        <v>14</v>
      </c>
      <c r="H1454" t="s">
        <v>99</v>
      </c>
      <c r="I1454" t="s">
        <v>88</v>
      </c>
      <c r="J1454" t="s">
        <v>37</v>
      </c>
      <c r="K1454">
        <v>50948</v>
      </c>
      <c r="L1454">
        <v>7</v>
      </c>
      <c r="M1454" s="1">
        <v>45458</v>
      </c>
    </row>
    <row r="1455" spans="1:13" x14ac:dyDescent="0.35">
      <c r="A1455" t="s">
        <v>2105</v>
      </c>
      <c r="B1455" t="s">
        <v>1729</v>
      </c>
      <c r="C1455" t="s">
        <v>119</v>
      </c>
      <c r="D1455">
        <v>11</v>
      </c>
      <c r="E1455">
        <v>11</v>
      </c>
      <c r="F1455">
        <v>0</v>
      </c>
      <c r="G1455" t="s">
        <v>25</v>
      </c>
      <c r="H1455" t="s">
        <v>99</v>
      </c>
      <c r="I1455" t="s">
        <v>15</v>
      </c>
      <c r="J1455" t="s">
        <v>26</v>
      </c>
      <c r="L1455">
        <v>2</v>
      </c>
      <c r="M1455" s="1">
        <v>45450</v>
      </c>
    </row>
    <row r="1456" spans="1:13" x14ac:dyDescent="0.35">
      <c r="A1456" t="s">
        <v>2106</v>
      </c>
      <c r="B1456" t="s">
        <v>1809</v>
      </c>
      <c r="C1456" t="s">
        <v>172</v>
      </c>
      <c r="D1456">
        <v>16</v>
      </c>
      <c r="E1456">
        <v>16</v>
      </c>
      <c r="F1456">
        <v>0</v>
      </c>
      <c r="G1456" t="s">
        <v>14</v>
      </c>
      <c r="H1456" t="s">
        <v>58</v>
      </c>
      <c r="I1456" t="s">
        <v>88</v>
      </c>
      <c r="J1456" t="s">
        <v>26</v>
      </c>
      <c r="L1456">
        <v>9</v>
      </c>
      <c r="M1456" s="1">
        <v>45588</v>
      </c>
    </row>
    <row r="1457" spans="1:13" x14ac:dyDescent="0.35">
      <c r="A1457" t="s">
        <v>2107</v>
      </c>
      <c r="B1457" t="s">
        <v>2108</v>
      </c>
      <c r="C1457" t="s">
        <v>117</v>
      </c>
      <c r="D1457">
        <v>35</v>
      </c>
      <c r="F1457">
        <v>1</v>
      </c>
      <c r="G1457" t="s">
        <v>25</v>
      </c>
      <c r="H1457" t="s">
        <v>19</v>
      </c>
      <c r="I1457" t="s">
        <v>88</v>
      </c>
      <c r="J1457" t="s">
        <v>16</v>
      </c>
      <c r="L1457">
        <v>3</v>
      </c>
      <c r="M1457" s="1">
        <v>45485</v>
      </c>
    </row>
    <row r="1458" spans="1:13" x14ac:dyDescent="0.35">
      <c r="A1458" t="s">
        <v>2109</v>
      </c>
      <c r="B1458" t="s">
        <v>1856</v>
      </c>
      <c r="C1458" t="s">
        <v>172</v>
      </c>
      <c r="D1458">
        <v>49</v>
      </c>
      <c r="E1458">
        <v>49</v>
      </c>
      <c r="F1458">
        <v>0</v>
      </c>
      <c r="G1458" t="s">
        <v>14</v>
      </c>
      <c r="H1458" t="s">
        <v>99</v>
      </c>
      <c r="I1458" t="s">
        <v>105</v>
      </c>
      <c r="J1458" t="s">
        <v>37</v>
      </c>
      <c r="K1458">
        <v>34085</v>
      </c>
      <c r="L1458">
        <v>5</v>
      </c>
      <c r="M1458" s="1">
        <v>45447</v>
      </c>
    </row>
    <row r="1459" spans="1:13" x14ac:dyDescent="0.35">
      <c r="A1459" t="s">
        <v>2207</v>
      </c>
      <c r="B1459" t="s">
        <v>2208</v>
      </c>
      <c r="C1459" t="s">
        <v>69</v>
      </c>
      <c r="D1459">
        <v>45</v>
      </c>
      <c r="E1459">
        <v>45</v>
      </c>
      <c r="F1459">
        <v>0</v>
      </c>
      <c r="G1459" t="s">
        <v>14</v>
      </c>
      <c r="H1459" t="s">
        <v>99</v>
      </c>
      <c r="I1459" t="s">
        <v>15</v>
      </c>
      <c r="J1459" t="s">
        <v>40</v>
      </c>
      <c r="L1459">
        <v>5</v>
      </c>
      <c r="M1459" s="1">
        <v>45488</v>
      </c>
    </row>
    <row r="1460" spans="1:13" x14ac:dyDescent="0.35">
      <c r="A1460" t="s">
        <v>2110</v>
      </c>
      <c r="B1460" t="s">
        <v>1696</v>
      </c>
      <c r="C1460" t="s">
        <v>119</v>
      </c>
      <c r="D1460">
        <v>42</v>
      </c>
      <c r="E1460">
        <v>42</v>
      </c>
      <c r="F1460">
        <v>0</v>
      </c>
      <c r="G1460" t="s">
        <v>25</v>
      </c>
      <c r="H1460" t="s">
        <v>32</v>
      </c>
      <c r="I1460" t="s">
        <v>105</v>
      </c>
      <c r="J1460" t="s">
        <v>40</v>
      </c>
      <c r="L1460">
        <v>5</v>
      </c>
      <c r="M1460" s="1">
        <v>45534</v>
      </c>
    </row>
    <row r="1461" spans="1:13" x14ac:dyDescent="0.35">
      <c r="A1461" t="s">
        <v>2111</v>
      </c>
      <c r="B1461" t="s">
        <v>623</v>
      </c>
      <c r="C1461" t="s">
        <v>130</v>
      </c>
      <c r="D1461">
        <v>34</v>
      </c>
      <c r="E1461">
        <v>34</v>
      </c>
      <c r="F1461">
        <v>0</v>
      </c>
      <c r="G1461" t="s">
        <v>25</v>
      </c>
      <c r="H1461" t="s">
        <v>32</v>
      </c>
      <c r="I1461" t="s">
        <v>15</v>
      </c>
      <c r="J1461" t="s">
        <v>40</v>
      </c>
      <c r="L1461">
        <v>4</v>
      </c>
      <c r="M1461" s="1">
        <v>45522</v>
      </c>
    </row>
    <row r="1462" spans="1:13" x14ac:dyDescent="0.35">
      <c r="A1462" t="s">
        <v>2112</v>
      </c>
      <c r="B1462" t="s">
        <v>1778</v>
      </c>
      <c r="C1462" t="s">
        <v>69</v>
      </c>
      <c r="D1462">
        <v>81</v>
      </c>
      <c r="E1462">
        <v>81</v>
      </c>
      <c r="F1462">
        <v>0</v>
      </c>
      <c r="G1462" t="s">
        <v>14</v>
      </c>
      <c r="H1462" t="s">
        <v>19</v>
      </c>
      <c r="I1462" t="s">
        <v>105</v>
      </c>
      <c r="J1462" t="s">
        <v>26</v>
      </c>
      <c r="L1462">
        <v>4</v>
      </c>
      <c r="M1462" s="1">
        <v>45583</v>
      </c>
    </row>
    <row r="1463" spans="1:13" x14ac:dyDescent="0.35">
      <c r="A1463" t="s">
        <v>2113</v>
      </c>
      <c r="B1463" t="s">
        <v>603</v>
      </c>
      <c r="C1463" t="s">
        <v>154</v>
      </c>
      <c r="D1463">
        <v>42</v>
      </c>
      <c r="E1463">
        <v>42</v>
      </c>
      <c r="F1463">
        <v>0</v>
      </c>
      <c r="G1463" t="s">
        <v>25</v>
      </c>
      <c r="H1463" t="s">
        <v>99</v>
      </c>
      <c r="I1463" t="s">
        <v>105</v>
      </c>
      <c r="J1463" t="s">
        <v>26</v>
      </c>
      <c r="L1463">
        <v>4</v>
      </c>
      <c r="M1463" s="1">
        <v>45336</v>
      </c>
    </row>
    <row r="1464" spans="1:13" x14ac:dyDescent="0.35">
      <c r="A1464" t="s">
        <v>2114</v>
      </c>
      <c r="B1464" t="s">
        <v>594</v>
      </c>
      <c r="C1464" t="s">
        <v>69</v>
      </c>
      <c r="D1464">
        <v>19</v>
      </c>
      <c r="E1464">
        <v>19</v>
      </c>
      <c r="F1464">
        <v>0</v>
      </c>
      <c r="G1464" t="s">
        <v>14</v>
      </c>
      <c r="H1464" t="s">
        <v>32</v>
      </c>
      <c r="I1464" t="s">
        <v>2154</v>
      </c>
      <c r="J1464" t="s">
        <v>37</v>
      </c>
      <c r="K1464">
        <v>42839</v>
      </c>
      <c r="L1464">
        <v>3</v>
      </c>
      <c r="M1464" s="1">
        <v>45583</v>
      </c>
    </row>
    <row r="1465" spans="1:13" x14ac:dyDescent="0.35">
      <c r="A1465" t="s">
        <v>2115</v>
      </c>
      <c r="B1465" t="s">
        <v>751</v>
      </c>
      <c r="C1465" t="s">
        <v>117</v>
      </c>
      <c r="D1465">
        <v>51</v>
      </c>
      <c r="E1465">
        <v>51</v>
      </c>
      <c r="F1465">
        <v>0</v>
      </c>
      <c r="G1465" t="s">
        <v>14</v>
      </c>
      <c r="H1465" t="s">
        <v>19</v>
      </c>
      <c r="I1465" t="s">
        <v>15</v>
      </c>
      <c r="J1465" t="s">
        <v>40</v>
      </c>
      <c r="L1465">
        <v>3</v>
      </c>
      <c r="M1465" s="1">
        <v>45534</v>
      </c>
    </row>
    <row r="1466" spans="1:13" x14ac:dyDescent="0.35">
      <c r="A1466" t="s">
        <v>2116</v>
      </c>
      <c r="B1466" t="s">
        <v>950</v>
      </c>
      <c r="C1466" t="s">
        <v>69</v>
      </c>
      <c r="D1466">
        <v>41</v>
      </c>
      <c r="E1466">
        <v>41</v>
      </c>
      <c r="F1466">
        <v>0</v>
      </c>
      <c r="G1466" t="s">
        <v>25</v>
      </c>
      <c r="H1466" t="s">
        <v>19</v>
      </c>
      <c r="I1466" t="s">
        <v>2153</v>
      </c>
      <c r="J1466" t="s">
        <v>20</v>
      </c>
      <c r="K1466">
        <v>82409</v>
      </c>
      <c r="L1466">
        <v>1</v>
      </c>
      <c r="M1466" s="1">
        <v>45511</v>
      </c>
    </row>
    <row r="1467" spans="1:13" x14ac:dyDescent="0.35">
      <c r="A1467" t="s">
        <v>2117</v>
      </c>
      <c r="B1467" t="s">
        <v>461</v>
      </c>
      <c r="C1467" t="s">
        <v>117</v>
      </c>
      <c r="D1467">
        <v>38</v>
      </c>
      <c r="E1467">
        <v>38</v>
      </c>
      <c r="F1467">
        <v>0</v>
      </c>
      <c r="G1467" t="s">
        <v>14</v>
      </c>
      <c r="H1467" t="s">
        <v>58</v>
      </c>
      <c r="I1467" t="s">
        <v>2153</v>
      </c>
      <c r="J1467" t="s">
        <v>26</v>
      </c>
      <c r="L1467">
        <v>5</v>
      </c>
      <c r="M1467" s="1">
        <v>45336</v>
      </c>
    </row>
    <row r="1468" spans="1:13" x14ac:dyDescent="0.35">
      <c r="A1468" t="s">
        <v>2118</v>
      </c>
      <c r="B1468" t="s">
        <v>2119</v>
      </c>
      <c r="C1468" t="s">
        <v>154</v>
      </c>
      <c r="D1468">
        <v>33</v>
      </c>
      <c r="F1468">
        <v>1</v>
      </c>
      <c r="G1468" t="s">
        <v>14</v>
      </c>
      <c r="H1468" t="s">
        <v>32</v>
      </c>
      <c r="I1468" t="s">
        <v>2153</v>
      </c>
      <c r="J1468" t="s">
        <v>20</v>
      </c>
      <c r="K1468">
        <v>71908</v>
      </c>
      <c r="L1468">
        <v>2</v>
      </c>
      <c r="M1468" s="1">
        <v>45546</v>
      </c>
    </row>
    <row r="1469" spans="1:13" x14ac:dyDescent="0.35">
      <c r="A1469" t="s">
        <v>2120</v>
      </c>
      <c r="B1469" t="s">
        <v>2006</v>
      </c>
      <c r="C1469" t="s">
        <v>29</v>
      </c>
      <c r="D1469">
        <v>34</v>
      </c>
      <c r="E1469">
        <v>34</v>
      </c>
      <c r="F1469">
        <v>0</v>
      </c>
      <c r="G1469" t="s">
        <v>14</v>
      </c>
      <c r="H1469" t="s">
        <v>32</v>
      </c>
      <c r="I1469" t="s">
        <v>15</v>
      </c>
      <c r="J1469" t="s">
        <v>40</v>
      </c>
      <c r="L1469">
        <v>2</v>
      </c>
      <c r="M1469" s="1">
        <v>45514</v>
      </c>
    </row>
    <row r="1470" spans="1:13" x14ac:dyDescent="0.35">
      <c r="A1470" t="s">
        <v>2121</v>
      </c>
      <c r="B1470" t="s">
        <v>1342</v>
      </c>
      <c r="C1470" t="s">
        <v>45</v>
      </c>
      <c r="D1470">
        <v>24</v>
      </c>
      <c r="E1470">
        <v>24</v>
      </c>
      <c r="F1470">
        <v>0</v>
      </c>
      <c r="G1470" t="s">
        <v>14</v>
      </c>
      <c r="H1470" t="s">
        <v>99</v>
      </c>
      <c r="I1470" t="s">
        <v>88</v>
      </c>
      <c r="J1470" t="s">
        <v>26</v>
      </c>
      <c r="L1470">
        <v>5</v>
      </c>
      <c r="M1470" s="1">
        <v>45397</v>
      </c>
    </row>
    <row r="1471" spans="1:13" x14ac:dyDescent="0.35">
      <c r="A1471" t="s">
        <v>2122</v>
      </c>
      <c r="B1471" t="s">
        <v>1257</v>
      </c>
      <c r="C1471" t="s">
        <v>45</v>
      </c>
      <c r="D1471">
        <v>39</v>
      </c>
      <c r="E1471">
        <v>39</v>
      </c>
      <c r="F1471">
        <v>0</v>
      </c>
      <c r="G1471" t="s">
        <v>14</v>
      </c>
      <c r="H1471" t="s">
        <v>99</v>
      </c>
      <c r="I1471" t="s">
        <v>2154</v>
      </c>
      <c r="J1471" t="s">
        <v>40</v>
      </c>
      <c r="L1471">
        <v>6</v>
      </c>
      <c r="M1471" s="1">
        <v>45442</v>
      </c>
    </row>
    <row r="1472" spans="1:13" x14ac:dyDescent="0.35">
      <c r="A1472" t="s">
        <v>2123</v>
      </c>
      <c r="B1472" t="s">
        <v>751</v>
      </c>
      <c r="C1472" t="s">
        <v>117</v>
      </c>
      <c r="D1472">
        <v>31</v>
      </c>
      <c r="E1472">
        <v>31</v>
      </c>
      <c r="F1472">
        <v>0</v>
      </c>
      <c r="G1472" t="s">
        <v>14</v>
      </c>
      <c r="H1472" t="s">
        <v>99</v>
      </c>
      <c r="I1472" t="s">
        <v>88</v>
      </c>
      <c r="J1472" t="s">
        <v>37</v>
      </c>
      <c r="K1472">
        <v>49481</v>
      </c>
      <c r="L1472">
        <v>3</v>
      </c>
      <c r="M1472" s="1">
        <v>45363</v>
      </c>
    </row>
    <row r="1473" spans="1:13" x14ac:dyDescent="0.35">
      <c r="A1473" t="s">
        <v>2124</v>
      </c>
      <c r="B1473" t="s">
        <v>367</v>
      </c>
      <c r="C1473" t="s">
        <v>13</v>
      </c>
      <c r="D1473">
        <v>59</v>
      </c>
      <c r="E1473">
        <v>59</v>
      </c>
      <c r="F1473">
        <v>0</v>
      </c>
      <c r="G1473" t="s">
        <v>14</v>
      </c>
      <c r="H1473" t="s">
        <v>32</v>
      </c>
      <c r="I1473" t="s">
        <v>88</v>
      </c>
      <c r="J1473" t="s">
        <v>20</v>
      </c>
      <c r="K1473">
        <v>55637</v>
      </c>
      <c r="L1473">
        <v>4</v>
      </c>
      <c r="M1473" s="1">
        <v>45306</v>
      </c>
    </row>
    <row r="1474" spans="1:13" x14ac:dyDescent="0.35">
      <c r="A1474" t="s">
        <v>2125</v>
      </c>
      <c r="B1474" t="s">
        <v>1163</v>
      </c>
      <c r="C1474" t="s">
        <v>29</v>
      </c>
      <c r="D1474">
        <v>31</v>
      </c>
      <c r="E1474">
        <v>31</v>
      </c>
      <c r="F1474">
        <v>0</v>
      </c>
      <c r="G1474" t="s">
        <v>25</v>
      </c>
      <c r="H1474" t="s">
        <v>19</v>
      </c>
      <c r="I1474" t="s">
        <v>15</v>
      </c>
      <c r="J1474" t="s">
        <v>40</v>
      </c>
      <c r="L1474">
        <v>5</v>
      </c>
      <c r="M1474" s="1">
        <v>45573</v>
      </c>
    </row>
    <row r="1475" spans="1:13" x14ac:dyDescent="0.35">
      <c r="A1475" t="s">
        <v>2126</v>
      </c>
      <c r="B1475" t="s">
        <v>837</v>
      </c>
      <c r="C1475" t="s">
        <v>69</v>
      </c>
      <c r="D1475">
        <v>46</v>
      </c>
      <c r="E1475">
        <v>46</v>
      </c>
      <c r="F1475">
        <v>0</v>
      </c>
      <c r="G1475" t="s">
        <v>14</v>
      </c>
      <c r="H1475" t="s">
        <v>99</v>
      </c>
      <c r="I1475" t="s">
        <v>105</v>
      </c>
      <c r="J1475" t="s">
        <v>16</v>
      </c>
      <c r="L1475">
        <v>5</v>
      </c>
      <c r="M1475" s="1">
        <v>45426</v>
      </c>
    </row>
    <row r="1476" spans="1:13" x14ac:dyDescent="0.35">
      <c r="A1476" t="s">
        <v>2127</v>
      </c>
      <c r="B1476" t="s">
        <v>723</v>
      </c>
      <c r="C1476" t="s">
        <v>172</v>
      </c>
      <c r="D1476">
        <v>38</v>
      </c>
      <c r="E1476">
        <v>38</v>
      </c>
      <c r="F1476">
        <v>0</v>
      </c>
      <c r="G1476" t="s">
        <v>25</v>
      </c>
      <c r="H1476" t="s">
        <v>99</v>
      </c>
      <c r="I1476" t="s">
        <v>88</v>
      </c>
      <c r="J1476" t="s">
        <v>20</v>
      </c>
      <c r="K1476">
        <v>59914</v>
      </c>
      <c r="L1476">
        <v>9</v>
      </c>
      <c r="M1476" s="1">
        <v>45316</v>
      </c>
    </row>
    <row r="1477" spans="1:13" x14ac:dyDescent="0.35">
      <c r="A1477" t="s">
        <v>2128</v>
      </c>
      <c r="B1477" t="s">
        <v>2017</v>
      </c>
      <c r="C1477" t="s">
        <v>119</v>
      </c>
      <c r="D1477">
        <v>27</v>
      </c>
      <c r="E1477">
        <v>27</v>
      </c>
      <c r="F1477">
        <v>0</v>
      </c>
      <c r="G1477" t="s">
        <v>14</v>
      </c>
      <c r="H1477" t="s">
        <v>58</v>
      </c>
      <c r="I1477" t="s">
        <v>88</v>
      </c>
      <c r="J1477" t="s">
        <v>40</v>
      </c>
      <c r="L1477">
        <v>5</v>
      </c>
      <c r="M1477" s="1">
        <v>45513</v>
      </c>
    </row>
    <row r="1478" spans="1:13" x14ac:dyDescent="0.35">
      <c r="A1478" t="s">
        <v>2129</v>
      </c>
      <c r="B1478" t="s">
        <v>438</v>
      </c>
      <c r="C1478" t="s">
        <v>45</v>
      </c>
      <c r="D1478">
        <v>47</v>
      </c>
      <c r="E1478">
        <v>47</v>
      </c>
      <c r="F1478">
        <v>0</v>
      </c>
      <c r="G1478" t="s">
        <v>25</v>
      </c>
      <c r="H1478" t="s">
        <v>58</v>
      </c>
      <c r="I1478" t="s">
        <v>105</v>
      </c>
      <c r="J1478" t="s">
        <v>26</v>
      </c>
      <c r="L1478">
        <v>7</v>
      </c>
      <c r="M1478" s="1">
        <v>45387</v>
      </c>
    </row>
    <row r="1479" spans="1:13" x14ac:dyDescent="0.35">
      <c r="A1479" t="s">
        <v>2130</v>
      </c>
      <c r="B1479" t="s">
        <v>363</v>
      </c>
      <c r="C1479" t="s">
        <v>172</v>
      </c>
      <c r="D1479">
        <v>51</v>
      </c>
      <c r="E1479">
        <v>51</v>
      </c>
      <c r="F1479">
        <v>0</v>
      </c>
      <c r="G1479" t="s">
        <v>25</v>
      </c>
      <c r="H1479" t="s">
        <v>58</v>
      </c>
      <c r="I1479" t="s">
        <v>2153</v>
      </c>
      <c r="J1479" t="s">
        <v>40</v>
      </c>
      <c r="L1479">
        <v>7</v>
      </c>
      <c r="M1479" s="1">
        <v>45454</v>
      </c>
    </row>
    <row r="1480" spans="1:13" x14ac:dyDescent="0.35">
      <c r="A1480" t="s">
        <v>2131</v>
      </c>
      <c r="B1480" t="s">
        <v>49</v>
      </c>
      <c r="C1480" t="s">
        <v>130</v>
      </c>
      <c r="D1480">
        <v>38</v>
      </c>
      <c r="E1480">
        <v>38</v>
      </c>
      <c r="F1480">
        <v>0</v>
      </c>
      <c r="G1480" t="s">
        <v>25</v>
      </c>
      <c r="H1480" t="s">
        <v>99</v>
      </c>
      <c r="I1480" t="s">
        <v>15</v>
      </c>
      <c r="J1480" t="s">
        <v>16</v>
      </c>
      <c r="L1480">
        <v>8</v>
      </c>
      <c r="M1480" s="1">
        <v>45446</v>
      </c>
    </row>
    <row r="1481" spans="1:13" x14ac:dyDescent="0.35">
      <c r="A1481" t="s">
        <v>2132</v>
      </c>
      <c r="B1481" t="s">
        <v>540</v>
      </c>
      <c r="C1481" t="s">
        <v>117</v>
      </c>
      <c r="D1481">
        <v>21</v>
      </c>
      <c r="E1481">
        <v>21</v>
      </c>
      <c r="F1481">
        <v>0</v>
      </c>
      <c r="G1481" t="s">
        <v>25</v>
      </c>
      <c r="H1481" t="s">
        <v>58</v>
      </c>
      <c r="I1481" t="s">
        <v>15</v>
      </c>
      <c r="J1481" t="s">
        <v>26</v>
      </c>
      <c r="L1481">
        <v>2</v>
      </c>
      <c r="M1481" s="1">
        <v>45461</v>
      </c>
    </row>
    <row r="1482" spans="1:13" x14ac:dyDescent="0.35">
      <c r="A1482" t="s">
        <v>2133</v>
      </c>
      <c r="B1482" t="s">
        <v>701</v>
      </c>
      <c r="C1482" t="s">
        <v>172</v>
      </c>
      <c r="D1482">
        <v>21</v>
      </c>
      <c r="E1482">
        <v>21</v>
      </c>
      <c r="F1482">
        <v>0</v>
      </c>
      <c r="G1482" t="s">
        <v>14</v>
      </c>
      <c r="H1482" t="s">
        <v>99</v>
      </c>
      <c r="I1482" t="s">
        <v>2154</v>
      </c>
      <c r="J1482" t="s">
        <v>26</v>
      </c>
      <c r="L1482">
        <v>9</v>
      </c>
      <c r="M1482" s="1">
        <v>45416</v>
      </c>
    </row>
    <row r="1483" spans="1:13" x14ac:dyDescent="0.35">
      <c r="A1483" t="s">
        <v>2134</v>
      </c>
      <c r="B1483" t="s">
        <v>894</v>
      </c>
      <c r="C1483" t="s">
        <v>29</v>
      </c>
      <c r="D1483">
        <v>23</v>
      </c>
      <c r="E1483">
        <v>23</v>
      </c>
      <c r="F1483">
        <v>0</v>
      </c>
      <c r="G1483" t="s">
        <v>25</v>
      </c>
      <c r="H1483" t="s">
        <v>32</v>
      </c>
      <c r="I1483" t="s">
        <v>105</v>
      </c>
      <c r="J1483" t="s">
        <v>26</v>
      </c>
      <c r="L1483">
        <v>8</v>
      </c>
      <c r="M1483" s="1">
        <v>45554</v>
      </c>
    </row>
    <row r="1484" spans="1:13" x14ac:dyDescent="0.35">
      <c r="A1484" t="s">
        <v>2209</v>
      </c>
      <c r="B1484" t="s">
        <v>1137</v>
      </c>
      <c r="C1484" t="s">
        <v>29</v>
      </c>
      <c r="D1484">
        <v>36</v>
      </c>
      <c r="E1484">
        <v>36</v>
      </c>
      <c r="F1484">
        <v>0</v>
      </c>
      <c r="G1484" t="s">
        <v>25</v>
      </c>
      <c r="H1484" t="s">
        <v>99</v>
      </c>
      <c r="I1484" t="s">
        <v>15</v>
      </c>
      <c r="J1484" t="s">
        <v>40</v>
      </c>
      <c r="L1484">
        <v>7</v>
      </c>
      <c r="M1484" s="1">
        <v>45405</v>
      </c>
    </row>
    <row r="1485" spans="1:13" x14ac:dyDescent="0.35">
      <c r="A1485" t="s">
        <v>2135</v>
      </c>
      <c r="B1485" t="s">
        <v>857</v>
      </c>
      <c r="C1485" t="s">
        <v>184</v>
      </c>
      <c r="D1485">
        <v>30</v>
      </c>
      <c r="E1485">
        <v>30</v>
      </c>
      <c r="F1485">
        <v>0</v>
      </c>
      <c r="G1485" t="s">
        <v>25</v>
      </c>
      <c r="H1485" t="s">
        <v>32</v>
      </c>
      <c r="I1485" t="s">
        <v>15</v>
      </c>
      <c r="J1485" t="s">
        <v>16</v>
      </c>
      <c r="L1485">
        <v>7</v>
      </c>
      <c r="M1485" s="1">
        <v>45508</v>
      </c>
    </row>
    <row r="1486" spans="1:13" x14ac:dyDescent="0.35">
      <c r="A1486" t="s">
        <v>2136</v>
      </c>
      <c r="B1486" t="s">
        <v>1373</v>
      </c>
      <c r="C1486" t="s">
        <v>172</v>
      </c>
      <c r="D1486">
        <v>27</v>
      </c>
      <c r="E1486">
        <v>27</v>
      </c>
      <c r="F1486">
        <v>0</v>
      </c>
      <c r="G1486" t="s">
        <v>25</v>
      </c>
      <c r="H1486" t="s">
        <v>58</v>
      </c>
      <c r="I1486" t="s">
        <v>105</v>
      </c>
      <c r="J1486" t="s">
        <v>26</v>
      </c>
      <c r="L1486">
        <v>8</v>
      </c>
      <c r="M1486" s="1">
        <v>45292</v>
      </c>
    </row>
    <row r="1487" spans="1:13" x14ac:dyDescent="0.35">
      <c r="A1487" t="s">
        <v>2137</v>
      </c>
      <c r="B1487" t="s">
        <v>283</v>
      </c>
      <c r="C1487" t="s">
        <v>45</v>
      </c>
      <c r="D1487">
        <v>24</v>
      </c>
      <c r="E1487">
        <v>24</v>
      </c>
      <c r="F1487">
        <v>0</v>
      </c>
      <c r="G1487" t="s">
        <v>25</v>
      </c>
      <c r="H1487" t="s">
        <v>58</v>
      </c>
      <c r="I1487" t="s">
        <v>15</v>
      </c>
      <c r="J1487" t="s">
        <v>40</v>
      </c>
      <c r="L1487">
        <v>9</v>
      </c>
      <c r="M1487" s="1">
        <v>45381</v>
      </c>
    </row>
    <row r="1488" spans="1:13" x14ac:dyDescent="0.35">
      <c r="A1488" t="s">
        <v>2138</v>
      </c>
      <c r="B1488" t="s">
        <v>861</v>
      </c>
      <c r="C1488" t="s">
        <v>13</v>
      </c>
      <c r="D1488">
        <v>39</v>
      </c>
      <c r="E1488">
        <v>39</v>
      </c>
      <c r="F1488">
        <v>0</v>
      </c>
      <c r="G1488" t="s">
        <v>25</v>
      </c>
      <c r="H1488" t="s">
        <v>32</v>
      </c>
      <c r="I1488" t="s">
        <v>105</v>
      </c>
      <c r="J1488" t="s">
        <v>26</v>
      </c>
      <c r="L1488">
        <v>7</v>
      </c>
      <c r="M1488" s="1">
        <v>45339</v>
      </c>
    </row>
    <row r="1489" spans="1:13" x14ac:dyDescent="0.35">
      <c r="A1489" t="s">
        <v>2139</v>
      </c>
      <c r="B1489" t="s">
        <v>365</v>
      </c>
      <c r="C1489" t="s">
        <v>119</v>
      </c>
      <c r="D1489">
        <v>28</v>
      </c>
      <c r="E1489">
        <v>28</v>
      </c>
      <c r="F1489">
        <v>0</v>
      </c>
      <c r="G1489" t="s">
        <v>14</v>
      </c>
      <c r="H1489" t="s">
        <v>99</v>
      </c>
      <c r="I1489" t="s">
        <v>15</v>
      </c>
      <c r="J1489" t="s">
        <v>40</v>
      </c>
      <c r="L1489">
        <v>6</v>
      </c>
      <c r="M1489" s="1">
        <v>45321</v>
      </c>
    </row>
    <row r="1490" spans="1:13" x14ac:dyDescent="0.35">
      <c r="A1490" t="s">
        <v>2140</v>
      </c>
      <c r="B1490" t="s">
        <v>890</v>
      </c>
      <c r="C1490" t="s">
        <v>184</v>
      </c>
      <c r="D1490">
        <v>19</v>
      </c>
      <c r="E1490">
        <v>19</v>
      </c>
      <c r="F1490">
        <v>0</v>
      </c>
      <c r="G1490" t="s">
        <v>25</v>
      </c>
      <c r="H1490" t="s">
        <v>58</v>
      </c>
      <c r="I1490" t="s">
        <v>2153</v>
      </c>
      <c r="J1490" t="s">
        <v>37</v>
      </c>
      <c r="K1490">
        <v>30000</v>
      </c>
      <c r="L1490">
        <v>8</v>
      </c>
      <c r="M1490" s="1">
        <v>45313</v>
      </c>
    </row>
    <row r="1491" spans="1:13" x14ac:dyDescent="0.35">
      <c r="A1491" t="s">
        <v>2141</v>
      </c>
      <c r="B1491" t="s">
        <v>1025</v>
      </c>
      <c r="C1491" t="s">
        <v>69</v>
      </c>
      <c r="D1491">
        <v>26</v>
      </c>
      <c r="E1491">
        <v>26</v>
      </c>
      <c r="F1491">
        <v>0</v>
      </c>
      <c r="G1491" t="s">
        <v>25</v>
      </c>
      <c r="H1491" t="s">
        <v>19</v>
      </c>
      <c r="I1491" t="s">
        <v>15</v>
      </c>
      <c r="J1491" t="s">
        <v>37</v>
      </c>
      <c r="K1491">
        <v>78949</v>
      </c>
      <c r="L1491">
        <v>3</v>
      </c>
      <c r="M1491" s="1">
        <v>45520</v>
      </c>
    </row>
    <row r="1492" spans="1:13" x14ac:dyDescent="0.35">
      <c r="A1492" t="s">
        <v>2142</v>
      </c>
      <c r="B1492" t="s">
        <v>1360</v>
      </c>
      <c r="C1492" t="s">
        <v>184</v>
      </c>
      <c r="D1492">
        <v>32</v>
      </c>
      <c r="E1492">
        <v>32</v>
      </c>
      <c r="F1492">
        <v>0</v>
      </c>
      <c r="G1492" t="s">
        <v>25</v>
      </c>
      <c r="H1492" t="s">
        <v>58</v>
      </c>
      <c r="I1492" t="s">
        <v>15</v>
      </c>
      <c r="J1492" t="s">
        <v>26</v>
      </c>
      <c r="L1492">
        <v>9</v>
      </c>
      <c r="M1492" s="1">
        <v>45333</v>
      </c>
    </row>
    <row r="1493" spans="1:13" x14ac:dyDescent="0.35">
      <c r="A1493" t="s">
        <v>2143</v>
      </c>
      <c r="B1493" t="s">
        <v>300</v>
      </c>
      <c r="C1493" t="s">
        <v>45</v>
      </c>
      <c r="D1493">
        <v>35</v>
      </c>
      <c r="F1493">
        <v>1</v>
      </c>
      <c r="G1493" t="s">
        <v>25</v>
      </c>
      <c r="H1493" t="s">
        <v>19</v>
      </c>
      <c r="I1493" t="s">
        <v>2153</v>
      </c>
      <c r="J1493" t="s">
        <v>37</v>
      </c>
      <c r="K1493">
        <v>67642</v>
      </c>
      <c r="L1493">
        <v>8</v>
      </c>
      <c r="M1493" s="1">
        <v>45464</v>
      </c>
    </row>
    <row r="1494" spans="1:13" x14ac:dyDescent="0.35">
      <c r="A1494" t="s">
        <v>2144</v>
      </c>
      <c r="B1494" t="s">
        <v>1368</v>
      </c>
      <c r="C1494" t="s">
        <v>119</v>
      </c>
      <c r="D1494">
        <v>34</v>
      </c>
      <c r="E1494">
        <v>34</v>
      </c>
      <c r="F1494">
        <v>0</v>
      </c>
      <c r="G1494" t="s">
        <v>14</v>
      </c>
      <c r="H1494" t="s">
        <v>32</v>
      </c>
      <c r="I1494" t="s">
        <v>105</v>
      </c>
      <c r="J1494" t="s">
        <v>40</v>
      </c>
      <c r="L1494">
        <v>6</v>
      </c>
      <c r="M1494" s="1">
        <v>45373</v>
      </c>
    </row>
    <row r="1495" spans="1:13" x14ac:dyDescent="0.35">
      <c r="A1495" t="s">
        <v>2145</v>
      </c>
      <c r="B1495" t="s">
        <v>1802</v>
      </c>
      <c r="C1495" t="s">
        <v>13</v>
      </c>
      <c r="D1495">
        <v>36</v>
      </c>
      <c r="E1495">
        <v>36</v>
      </c>
      <c r="F1495">
        <v>0</v>
      </c>
      <c r="G1495" t="s">
        <v>25</v>
      </c>
      <c r="H1495" t="s">
        <v>32</v>
      </c>
      <c r="I1495" t="s">
        <v>15</v>
      </c>
      <c r="J1495" t="s">
        <v>40</v>
      </c>
      <c r="L1495">
        <v>5</v>
      </c>
      <c r="M1495" s="1">
        <v>45503</v>
      </c>
    </row>
    <row r="1496" spans="1:13" x14ac:dyDescent="0.35">
      <c r="A1496" t="s">
        <v>2146</v>
      </c>
      <c r="B1496" t="s">
        <v>2147</v>
      </c>
      <c r="C1496" t="s">
        <v>184</v>
      </c>
      <c r="D1496">
        <v>12</v>
      </c>
      <c r="E1496">
        <v>12</v>
      </c>
      <c r="F1496">
        <v>0</v>
      </c>
      <c r="G1496" t="s">
        <v>25</v>
      </c>
      <c r="H1496" t="s">
        <v>99</v>
      </c>
      <c r="I1496" t="s">
        <v>15</v>
      </c>
      <c r="J1496" t="s">
        <v>26</v>
      </c>
      <c r="L1496">
        <v>5</v>
      </c>
      <c r="M1496" s="1">
        <v>45556</v>
      </c>
    </row>
    <row r="1497" spans="1:13" x14ac:dyDescent="0.35">
      <c r="A1497" t="s">
        <v>2148</v>
      </c>
      <c r="B1497" t="s">
        <v>1744</v>
      </c>
      <c r="C1497" t="s">
        <v>130</v>
      </c>
      <c r="D1497">
        <v>32</v>
      </c>
      <c r="E1497">
        <v>32</v>
      </c>
      <c r="F1497">
        <v>0</v>
      </c>
      <c r="G1497" t="s">
        <v>14</v>
      </c>
      <c r="H1497" t="s">
        <v>32</v>
      </c>
      <c r="I1497" t="s">
        <v>105</v>
      </c>
      <c r="J1497" t="s">
        <v>37</v>
      </c>
      <c r="K1497">
        <v>47938</v>
      </c>
      <c r="L1497">
        <v>9</v>
      </c>
      <c r="M1497" s="1">
        <v>45373</v>
      </c>
    </row>
    <row r="1498" spans="1:13" x14ac:dyDescent="0.35">
      <c r="A1498" t="s">
        <v>2149</v>
      </c>
      <c r="B1498" t="s">
        <v>479</v>
      </c>
      <c r="C1498" t="s">
        <v>45</v>
      </c>
      <c r="D1498">
        <v>18</v>
      </c>
      <c r="E1498">
        <v>18</v>
      </c>
      <c r="F1498">
        <v>0</v>
      </c>
      <c r="G1498" t="s">
        <v>25</v>
      </c>
      <c r="H1498" t="s">
        <v>58</v>
      </c>
      <c r="I1498" t="s">
        <v>88</v>
      </c>
      <c r="J1498" t="s">
        <v>37</v>
      </c>
      <c r="K1498">
        <v>48479</v>
      </c>
      <c r="L1498">
        <v>1</v>
      </c>
      <c r="M1498" s="1">
        <v>45487</v>
      </c>
    </row>
    <row r="1499" spans="1:13" x14ac:dyDescent="0.35">
      <c r="A1499" t="s">
        <v>2150</v>
      </c>
      <c r="B1499" t="s">
        <v>153</v>
      </c>
      <c r="C1499" t="s">
        <v>154</v>
      </c>
      <c r="D1499">
        <v>36</v>
      </c>
      <c r="E1499">
        <v>36</v>
      </c>
      <c r="F1499">
        <v>0</v>
      </c>
      <c r="G1499" t="s">
        <v>25</v>
      </c>
      <c r="H1499" t="s">
        <v>32</v>
      </c>
      <c r="I1499" t="s">
        <v>15</v>
      </c>
      <c r="J1499" t="s">
        <v>20</v>
      </c>
      <c r="K1499">
        <v>40044</v>
      </c>
      <c r="L1499">
        <v>5</v>
      </c>
      <c r="M1499" s="1">
        <v>45343</v>
      </c>
    </row>
    <row r="1500" spans="1:13" x14ac:dyDescent="0.35">
      <c r="A1500" t="s">
        <v>2151</v>
      </c>
      <c r="B1500" t="s">
        <v>1144</v>
      </c>
      <c r="C1500" t="s">
        <v>45</v>
      </c>
      <c r="D1500">
        <v>34</v>
      </c>
      <c r="E1500">
        <v>34</v>
      </c>
      <c r="F1500">
        <v>0</v>
      </c>
      <c r="G1500" t="s">
        <v>14</v>
      </c>
      <c r="H1500" t="s">
        <v>58</v>
      </c>
      <c r="I1500" t="s">
        <v>15</v>
      </c>
      <c r="J1500" t="s">
        <v>37</v>
      </c>
      <c r="K1500">
        <v>30000</v>
      </c>
      <c r="L1500">
        <v>8</v>
      </c>
      <c r="M1500" s="1">
        <v>45379</v>
      </c>
    </row>
    <row r="1501" spans="1:13" x14ac:dyDescent="0.35">
      <c r="A1501" t="s">
        <v>2152</v>
      </c>
      <c r="B1501" t="s">
        <v>1550</v>
      </c>
      <c r="C1501" t="s">
        <v>154</v>
      </c>
      <c r="D1501">
        <v>48</v>
      </c>
      <c r="E1501">
        <v>48</v>
      </c>
      <c r="F1501">
        <v>0</v>
      </c>
      <c r="G1501" t="s">
        <v>25</v>
      </c>
      <c r="H1501" t="s">
        <v>19</v>
      </c>
      <c r="I1501" t="s">
        <v>105</v>
      </c>
      <c r="J1501" t="s">
        <v>40</v>
      </c>
      <c r="L1501">
        <v>5</v>
      </c>
      <c r="M1501" s="1">
        <v>45537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608B-EC76-41BA-8698-30776D443C4D}">
  <dimension ref="A1:O16"/>
  <sheetViews>
    <sheetView zoomScale="89" zoomScaleNormal="89" workbookViewId="0">
      <selection activeCell="L20" sqref="L20"/>
    </sheetView>
  </sheetViews>
  <sheetFormatPr defaultRowHeight="14.5" x14ac:dyDescent="0.35"/>
  <cols>
    <col min="1" max="1" width="20.6328125" bestFit="1" customWidth="1"/>
    <col min="4" max="4" width="24.26953125" bestFit="1" customWidth="1"/>
    <col min="8" max="8" width="9.1796875" bestFit="1" customWidth="1"/>
    <col min="9" max="9" width="10.7265625" bestFit="1" customWidth="1"/>
    <col min="11" max="11" width="12.453125" bestFit="1" customWidth="1"/>
    <col min="12" max="12" width="12.26953125" bestFit="1" customWidth="1"/>
    <col min="13" max="13" width="13.90625" bestFit="1" customWidth="1"/>
    <col min="14" max="14" width="10.08984375" bestFit="1" customWidth="1"/>
    <col min="15" max="15" width="15.6328125" bestFit="1" customWidth="1"/>
  </cols>
  <sheetData>
    <row r="1" spans="1:15" ht="19" thickBot="1" x14ac:dyDescent="0.5">
      <c r="A1" s="6" t="s">
        <v>2235</v>
      </c>
      <c r="D1" s="6" t="s">
        <v>2236</v>
      </c>
      <c r="J1" s="10" t="s">
        <v>2234</v>
      </c>
    </row>
    <row r="2" spans="1:15" x14ac:dyDescent="0.35">
      <c r="A2" s="7" t="s">
        <v>3</v>
      </c>
      <c r="B2" s="5"/>
      <c r="D2" s="7" t="s">
        <v>8</v>
      </c>
      <c r="E2" s="5"/>
      <c r="G2" s="8" t="s">
        <v>2225</v>
      </c>
      <c r="H2" s="8" t="s">
        <v>2226</v>
      </c>
      <c r="I2" s="8" t="s">
        <v>2227</v>
      </c>
      <c r="J2" s="8" t="s">
        <v>2228</v>
      </c>
      <c r="K2" s="8" t="s">
        <v>2229</v>
      </c>
      <c r="L2" s="8" t="s">
        <v>2230</v>
      </c>
      <c r="M2" s="8" t="s">
        <v>2231</v>
      </c>
      <c r="N2" s="8" t="s">
        <v>2232</v>
      </c>
      <c r="O2" s="8" t="s">
        <v>2233</v>
      </c>
    </row>
    <row r="3" spans="1:15" x14ac:dyDescent="0.35">
      <c r="A3" s="2"/>
      <c r="B3" s="2"/>
      <c r="D3" s="2"/>
      <c r="E3" s="2"/>
      <c r="G3" s="8" t="s">
        <v>69</v>
      </c>
      <c r="H3" s="9">
        <v>34.630000000000003</v>
      </c>
      <c r="I3" s="9">
        <v>35</v>
      </c>
      <c r="J3" s="9">
        <v>16.2</v>
      </c>
      <c r="K3" s="9">
        <v>-8.4000000000000005E-2</v>
      </c>
      <c r="L3" s="9">
        <v>62686</v>
      </c>
      <c r="M3" s="9">
        <v>50429</v>
      </c>
      <c r="N3" s="9">
        <v>34443.06</v>
      </c>
      <c r="O3" s="9">
        <v>1.33</v>
      </c>
    </row>
    <row r="4" spans="1:15" x14ac:dyDescent="0.35">
      <c r="A4" s="2" t="s">
        <v>2212</v>
      </c>
      <c r="B4" s="2">
        <v>34.302666666666667</v>
      </c>
      <c r="D4" s="2" t="s">
        <v>2212</v>
      </c>
      <c r="E4" s="2">
        <v>59780.285204991087</v>
      </c>
      <c r="G4" s="8" t="s">
        <v>154</v>
      </c>
      <c r="H4" s="9">
        <v>34.409999999999997</v>
      </c>
      <c r="I4" s="9">
        <v>33</v>
      </c>
      <c r="J4" s="9">
        <v>14.93</v>
      </c>
      <c r="K4" s="9">
        <v>0.14000000000000001</v>
      </c>
      <c r="L4" s="9">
        <v>55685.78</v>
      </c>
      <c r="M4" s="9">
        <v>45537.5</v>
      </c>
      <c r="N4" s="9">
        <v>32231.200000000001</v>
      </c>
      <c r="O4" s="9">
        <v>2.6</v>
      </c>
    </row>
    <row r="5" spans="1:15" x14ac:dyDescent="0.35">
      <c r="A5" s="2" t="s">
        <v>2213</v>
      </c>
      <c r="B5" s="2">
        <v>0.37751253866364387</v>
      </c>
      <c r="D5" s="2" t="s">
        <v>2213</v>
      </c>
      <c r="E5" s="2">
        <v>1578.7782286860161</v>
      </c>
      <c r="G5" s="8" t="s">
        <v>29</v>
      </c>
      <c r="H5" s="9">
        <v>34.85</v>
      </c>
      <c r="I5" s="9">
        <v>35</v>
      </c>
      <c r="J5" s="9">
        <v>12.83</v>
      </c>
      <c r="K5" s="9">
        <v>0.09</v>
      </c>
      <c r="L5" s="9">
        <v>61056.68</v>
      </c>
      <c r="M5" s="9">
        <v>51506</v>
      </c>
      <c r="N5" s="9">
        <v>37939.47</v>
      </c>
      <c r="O5" s="9">
        <v>2.5099999999999998</v>
      </c>
    </row>
    <row r="6" spans="1:15" x14ac:dyDescent="0.35">
      <c r="A6" s="2" t="s">
        <v>2214</v>
      </c>
      <c r="B6" s="2">
        <v>34</v>
      </c>
      <c r="D6" s="2" t="s">
        <v>2214</v>
      </c>
      <c r="E6" s="2">
        <v>49481</v>
      </c>
      <c r="G6" s="8" t="s">
        <v>172</v>
      </c>
      <c r="H6" s="9">
        <v>32.880000000000003</v>
      </c>
      <c r="I6" s="9">
        <v>33</v>
      </c>
      <c r="J6" s="9">
        <v>13.79</v>
      </c>
      <c r="K6" s="9">
        <v>0.06</v>
      </c>
      <c r="L6" s="9">
        <v>56012.480000000003</v>
      </c>
      <c r="M6" s="9">
        <v>48113</v>
      </c>
      <c r="N6" s="9">
        <v>28451.75</v>
      </c>
      <c r="O6" s="9">
        <v>1.65</v>
      </c>
    </row>
    <row r="7" spans="1:15" x14ac:dyDescent="0.35">
      <c r="A7" s="2" t="s">
        <v>2215</v>
      </c>
      <c r="B7" s="2">
        <v>35</v>
      </c>
      <c r="D7" s="2" t="s">
        <v>2215</v>
      </c>
      <c r="E7" s="2">
        <v>30000</v>
      </c>
      <c r="G7" s="8" t="s">
        <v>119</v>
      </c>
      <c r="H7" s="9">
        <v>34.26</v>
      </c>
      <c r="I7" s="9">
        <v>34</v>
      </c>
      <c r="J7" s="9">
        <v>13.84</v>
      </c>
      <c r="K7" s="9">
        <v>0.01</v>
      </c>
      <c r="L7" s="9">
        <v>63348.480000000003</v>
      </c>
      <c r="M7" s="9">
        <v>49156.5</v>
      </c>
      <c r="N7" s="9">
        <v>63487.88</v>
      </c>
      <c r="O7" s="9">
        <v>5.42</v>
      </c>
    </row>
    <row r="8" spans="1:15" x14ac:dyDescent="0.35">
      <c r="A8" s="2" t="s">
        <v>2216</v>
      </c>
      <c r="B8" s="2">
        <v>14.620997752287762</v>
      </c>
      <c r="D8" s="2" t="s">
        <v>2216</v>
      </c>
      <c r="E8" s="2">
        <v>37394.054742755929</v>
      </c>
      <c r="G8" s="8" t="s">
        <v>184</v>
      </c>
      <c r="H8" s="9">
        <v>34.840000000000003</v>
      </c>
      <c r="I8" s="9">
        <v>35</v>
      </c>
      <c r="J8" s="9">
        <v>15.14</v>
      </c>
      <c r="K8" s="9">
        <v>0.22</v>
      </c>
      <c r="L8" s="9">
        <v>62969.81</v>
      </c>
      <c r="M8" s="9">
        <v>49392</v>
      </c>
      <c r="N8" s="9">
        <v>37879.550000000003</v>
      </c>
      <c r="O8" s="9">
        <v>1.88</v>
      </c>
    </row>
    <row r="9" spans="1:15" x14ac:dyDescent="0.35">
      <c r="A9" s="2" t="s">
        <v>2217</v>
      </c>
      <c r="B9" s="2">
        <v>213.7735752724038</v>
      </c>
      <c r="D9" s="2" t="s">
        <v>2217</v>
      </c>
      <c r="E9" s="2">
        <v>1398315330.1042271</v>
      </c>
      <c r="G9" s="8" t="s">
        <v>45</v>
      </c>
      <c r="H9" s="9">
        <v>34.090000000000003</v>
      </c>
      <c r="I9" s="9">
        <v>35</v>
      </c>
      <c r="J9" s="9">
        <v>14.41</v>
      </c>
      <c r="K9" s="9">
        <v>0.22</v>
      </c>
      <c r="L9" s="9">
        <v>60663.31</v>
      </c>
      <c r="M9" s="9">
        <v>55007</v>
      </c>
      <c r="N9" s="9">
        <v>28430.85</v>
      </c>
      <c r="O9" s="9">
        <v>1.18</v>
      </c>
    </row>
    <row r="10" spans="1:15" x14ac:dyDescent="0.35">
      <c r="A10" s="2" t="s">
        <v>2218</v>
      </c>
      <c r="B10" s="2">
        <v>-0.12265667526066526</v>
      </c>
      <c r="D10" s="2" t="s">
        <v>2218</v>
      </c>
      <c r="E10" s="2">
        <v>34.543293534672486</v>
      </c>
      <c r="G10" s="8" t="s">
        <v>117</v>
      </c>
      <c r="H10" s="9">
        <v>34.43</v>
      </c>
      <c r="I10" s="9">
        <v>35</v>
      </c>
      <c r="J10" s="9">
        <v>15.62</v>
      </c>
      <c r="K10" s="9">
        <v>0.12</v>
      </c>
      <c r="L10" s="9">
        <v>58675.75</v>
      </c>
      <c r="M10" s="9">
        <v>49481</v>
      </c>
      <c r="N10" s="9">
        <v>30248.21</v>
      </c>
      <c r="O10" s="9">
        <v>1.26</v>
      </c>
    </row>
    <row r="11" spans="1:15" x14ac:dyDescent="0.35">
      <c r="A11" s="2" t="s">
        <v>2219</v>
      </c>
      <c r="B11" s="2">
        <v>0.13145686305536394</v>
      </c>
      <c r="D11" s="2" t="s">
        <v>2219</v>
      </c>
      <c r="E11" s="2">
        <v>4.0274607018322657</v>
      </c>
      <c r="G11" s="8" t="s">
        <v>13</v>
      </c>
      <c r="H11" s="9">
        <v>34.340000000000003</v>
      </c>
      <c r="I11" s="9">
        <v>34</v>
      </c>
      <c r="J11" s="9">
        <v>15.18</v>
      </c>
      <c r="K11" s="9">
        <v>0.33</v>
      </c>
      <c r="L11" s="9">
        <v>54132.05</v>
      </c>
      <c r="M11" s="9">
        <v>48056</v>
      </c>
      <c r="N11" s="9">
        <v>27241.73</v>
      </c>
      <c r="O11" s="9">
        <v>1.57</v>
      </c>
    </row>
    <row r="12" spans="1:15" x14ac:dyDescent="0.35">
      <c r="A12" s="2" t="s">
        <v>2220</v>
      </c>
      <c r="B12" s="2">
        <v>80</v>
      </c>
      <c r="D12" s="2" t="s">
        <v>2220</v>
      </c>
      <c r="E12" s="2">
        <v>464666</v>
      </c>
      <c r="G12" s="8" t="s">
        <v>130</v>
      </c>
      <c r="H12" s="9">
        <v>34.229999999999997</v>
      </c>
      <c r="I12" s="9">
        <v>34</v>
      </c>
      <c r="J12" s="9">
        <v>14.5</v>
      </c>
      <c r="K12" s="9">
        <v>0.19</v>
      </c>
      <c r="L12" s="9">
        <v>59713.93</v>
      </c>
      <c r="M12" s="9">
        <v>49403.5</v>
      </c>
      <c r="N12" s="9">
        <v>34113.99</v>
      </c>
      <c r="O12" s="9">
        <v>2.2000000000000002</v>
      </c>
    </row>
    <row r="13" spans="1:15" x14ac:dyDescent="0.35">
      <c r="A13" s="2" t="s">
        <v>2221</v>
      </c>
      <c r="B13" s="2">
        <v>1</v>
      </c>
      <c r="D13" s="2" t="s">
        <v>2221</v>
      </c>
      <c r="E13" s="2">
        <v>30000</v>
      </c>
    </row>
    <row r="14" spans="1:15" x14ac:dyDescent="0.35">
      <c r="A14" s="2" t="s">
        <v>2222</v>
      </c>
      <c r="B14" s="2">
        <v>81</v>
      </c>
      <c r="D14" s="2" t="s">
        <v>2222</v>
      </c>
      <c r="E14" s="2">
        <v>494666</v>
      </c>
    </row>
    <row r="15" spans="1:15" x14ac:dyDescent="0.35">
      <c r="A15" s="2" t="s">
        <v>2223</v>
      </c>
      <c r="B15" s="2">
        <v>51454</v>
      </c>
      <c r="D15" s="2" t="s">
        <v>2223</v>
      </c>
      <c r="E15" s="2">
        <v>33536740</v>
      </c>
    </row>
    <row r="16" spans="1:15" ht="15" thickBot="1" x14ac:dyDescent="0.4">
      <c r="A16" s="3" t="s">
        <v>2224</v>
      </c>
      <c r="B16" s="3">
        <v>1500</v>
      </c>
      <c r="D16" s="3" t="s">
        <v>2224</v>
      </c>
      <c r="E16" s="3">
        <v>561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E6279-6818-44BB-BAF9-E2F9FBD2A721}">
  <dimension ref="A1:E8"/>
  <sheetViews>
    <sheetView workbookViewId="0">
      <selection activeCell="D2" sqref="D2:E2"/>
    </sheetView>
  </sheetViews>
  <sheetFormatPr defaultRowHeight="14.5" x14ac:dyDescent="0.35"/>
  <cols>
    <col min="1" max="1" width="46.26953125" bestFit="1" customWidth="1"/>
    <col min="4" max="4" width="53.36328125" bestFit="1" customWidth="1"/>
  </cols>
  <sheetData>
    <row r="1" spans="1:5" ht="18.5" x14ac:dyDescent="0.45">
      <c r="A1" s="10" t="s">
        <v>2243</v>
      </c>
      <c r="D1" s="10" t="s">
        <v>2244</v>
      </c>
    </row>
    <row r="2" spans="1:5" x14ac:dyDescent="0.35">
      <c r="A2" s="6" t="s">
        <v>2237</v>
      </c>
      <c r="B2" s="6" t="s">
        <v>2238</v>
      </c>
      <c r="D2" s="6" t="s">
        <v>2237</v>
      </c>
      <c r="E2" s="6" t="s">
        <v>2238</v>
      </c>
    </row>
    <row r="3" spans="1:5" x14ac:dyDescent="0.35">
      <c r="A3" t="s">
        <v>2239</v>
      </c>
      <c r="B3">
        <v>59780.29</v>
      </c>
      <c r="D3" t="s">
        <v>2239</v>
      </c>
      <c r="E3">
        <v>62969.81</v>
      </c>
    </row>
    <row r="4" spans="1:5" x14ac:dyDescent="0.35">
      <c r="A4" t="s">
        <v>2216</v>
      </c>
      <c r="B4">
        <v>37394.050000000003</v>
      </c>
      <c r="D4" t="s">
        <v>2216</v>
      </c>
      <c r="E4">
        <v>37879.550000000003</v>
      </c>
    </row>
    <row r="5" spans="1:5" x14ac:dyDescent="0.35">
      <c r="A5" t="s">
        <v>2224</v>
      </c>
      <c r="B5">
        <v>561</v>
      </c>
      <c r="D5" t="s">
        <v>2224</v>
      </c>
      <c r="E5">
        <v>67</v>
      </c>
    </row>
    <row r="6" spans="1:5" x14ac:dyDescent="0.35">
      <c r="A6" t="s">
        <v>2240</v>
      </c>
      <c r="B6">
        <f>_xlfn.CONFIDENCE.T(0.05,B4,B5)</f>
        <v>3101.0503251540185</v>
      </c>
      <c r="D6" t="s">
        <v>2240</v>
      </c>
      <c r="E6">
        <f>_xlfn.CONFIDENCE.T(0.05,E4,E5)</f>
        <v>9239.5482325222329</v>
      </c>
    </row>
    <row r="7" spans="1:5" x14ac:dyDescent="0.35">
      <c r="A7" t="s">
        <v>2241</v>
      </c>
      <c r="B7">
        <f>B3-B6</f>
        <v>56679.23967484598</v>
      </c>
      <c r="D7" t="s">
        <v>2241</v>
      </c>
      <c r="E7">
        <f>E3-E6</f>
        <v>53730.261767477765</v>
      </c>
    </row>
    <row r="8" spans="1:5" x14ac:dyDescent="0.35">
      <c r="A8" t="s">
        <v>2242</v>
      </c>
      <c r="B8">
        <f>B3+B6</f>
        <v>62881.340325154022</v>
      </c>
      <c r="D8" t="s">
        <v>2242</v>
      </c>
      <c r="E8">
        <f>E3+E6</f>
        <v>72209.358232522238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F1B0-4ACF-445F-B575-43751B10FBF3}">
  <dimension ref="A1:D13"/>
  <sheetViews>
    <sheetView workbookViewId="0">
      <selection activeCell="B12" sqref="B12"/>
    </sheetView>
  </sheetViews>
  <sheetFormatPr defaultRowHeight="14.5" x14ac:dyDescent="0.35"/>
  <cols>
    <col min="1" max="1" width="42.1796875" bestFit="1" customWidth="1"/>
    <col min="2" max="2" width="11.81640625" bestFit="1" customWidth="1"/>
  </cols>
  <sheetData>
    <row r="1" spans="1:4" x14ac:dyDescent="0.35">
      <c r="A1" s="6" t="s">
        <v>2247</v>
      </c>
      <c r="B1" s="6"/>
      <c r="C1" s="6"/>
      <c r="D1" s="6"/>
    </row>
    <row r="2" spans="1:4" x14ac:dyDescent="0.35">
      <c r="A2" s="6"/>
      <c r="B2" s="6"/>
      <c r="C2" s="6"/>
      <c r="D2" s="6"/>
    </row>
    <row r="3" spans="1:4" x14ac:dyDescent="0.35">
      <c r="A3" s="6"/>
      <c r="B3" s="6" t="s">
        <v>2245</v>
      </c>
      <c r="C3" s="6" t="s">
        <v>2246</v>
      </c>
      <c r="D3" s="6"/>
    </row>
    <row r="4" spans="1:4" x14ac:dyDescent="0.35">
      <c r="A4" s="6" t="s">
        <v>2212</v>
      </c>
      <c r="B4" s="6">
        <v>61328.821561338293</v>
      </c>
      <c r="C4" s="6">
        <v>58353.722602739726</v>
      </c>
      <c r="D4" s="6"/>
    </row>
    <row r="5" spans="1:4" x14ac:dyDescent="0.35">
      <c r="A5" s="6" t="s">
        <v>2248</v>
      </c>
      <c r="B5" s="6">
        <v>1626580273.2516229</v>
      </c>
      <c r="C5" s="6">
        <v>1188638403.6856728</v>
      </c>
      <c r="D5" s="6"/>
    </row>
    <row r="6" spans="1:4" x14ac:dyDescent="0.35">
      <c r="A6" s="6" t="s">
        <v>2249</v>
      </c>
      <c r="B6" s="6">
        <v>269</v>
      </c>
      <c r="C6" s="6">
        <v>292</v>
      </c>
      <c r="D6" s="6"/>
    </row>
    <row r="7" spans="1:4" x14ac:dyDescent="0.35">
      <c r="A7" s="6" t="s">
        <v>2250</v>
      </c>
      <c r="B7" s="6">
        <v>0</v>
      </c>
      <c r="C7" s="6"/>
      <c r="D7" s="6"/>
    </row>
    <row r="8" spans="1:4" x14ac:dyDescent="0.35">
      <c r="A8" s="6" t="s">
        <v>2251</v>
      </c>
      <c r="B8" s="6">
        <v>529</v>
      </c>
      <c r="C8" s="6"/>
      <c r="D8" s="6"/>
    </row>
    <row r="9" spans="1:4" x14ac:dyDescent="0.35">
      <c r="A9" s="6" t="s">
        <v>2252</v>
      </c>
      <c r="B9" s="6">
        <v>0.93533236504753037</v>
      </c>
      <c r="C9" s="6"/>
      <c r="D9" s="6"/>
    </row>
    <row r="10" spans="1:4" x14ac:dyDescent="0.35">
      <c r="A10" s="6" t="s">
        <v>2253</v>
      </c>
      <c r="B10" s="6">
        <v>0.17502190341193602</v>
      </c>
      <c r="C10" s="6"/>
      <c r="D10" s="6"/>
    </row>
    <row r="11" spans="1:4" x14ac:dyDescent="0.35">
      <c r="A11" s="6" t="s">
        <v>2254</v>
      </c>
      <c r="B11" s="6">
        <v>1.6477391796111058</v>
      </c>
      <c r="C11" s="6"/>
      <c r="D11" s="6"/>
    </row>
    <row r="12" spans="1:4" x14ac:dyDescent="0.35">
      <c r="A12" s="6" t="s">
        <v>2255</v>
      </c>
      <c r="B12" s="6">
        <v>0.35004380682387204</v>
      </c>
      <c r="C12" s="6"/>
      <c r="D12" s="6"/>
    </row>
    <row r="13" spans="1:4" x14ac:dyDescent="0.35">
      <c r="A13" s="6" t="s">
        <v>2256</v>
      </c>
      <c r="B13" s="6">
        <v>1.9644585325748385</v>
      </c>
      <c r="C13" s="6"/>
      <c r="D13"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E222-C7A5-4266-A43C-913E9BC5E40C}">
  <dimension ref="A1:G22"/>
  <sheetViews>
    <sheetView zoomScale="96" zoomScaleNormal="96" workbookViewId="0">
      <selection activeCell="B14" sqref="B14"/>
    </sheetView>
  </sheetViews>
  <sheetFormatPr defaultRowHeight="14.5" x14ac:dyDescent="0.35"/>
  <cols>
    <col min="1" max="1" width="22" customWidth="1"/>
    <col min="4" max="4" width="12.7265625" bestFit="1" customWidth="1"/>
    <col min="6" max="6" width="11.453125" bestFit="1" customWidth="1"/>
    <col min="7" max="7" width="12.7265625" customWidth="1"/>
  </cols>
  <sheetData>
    <row r="1" spans="1:7" ht="18.5" x14ac:dyDescent="0.45">
      <c r="B1" s="10" t="s">
        <v>2307</v>
      </c>
    </row>
    <row r="2" spans="1:7" x14ac:dyDescent="0.35">
      <c r="A2" t="s">
        <v>2263</v>
      </c>
      <c r="B2" t="s">
        <v>2306</v>
      </c>
    </row>
    <row r="3" spans="1:7" x14ac:dyDescent="0.35">
      <c r="A3" s="20" t="s">
        <v>2264</v>
      </c>
      <c r="B3" s="20" t="s">
        <v>20</v>
      </c>
      <c r="C3" s="20" t="s">
        <v>40</v>
      </c>
      <c r="D3" s="20" t="s">
        <v>37</v>
      </c>
      <c r="E3" s="20" t="s">
        <v>26</v>
      </c>
      <c r="F3" s="20" t="s">
        <v>16</v>
      </c>
      <c r="G3" s="20" t="s">
        <v>2262</v>
      </c>
    </row>
    <row r="4" spans="1:7" x14ac:dyDescent="0.35">
      <c r="A4" t="s">
        <v>2153</v>
      </c>
      <c r="B4">
        <v>29</v>
      </c>
      <c r="C4">
        <v>29</v>
      </c>
      <c r="D4">
        <v>29</v>
      </c>
      <c r="E4">
        <v>46</v>
      </c>
      <c r="F4">
        <v>28</v>
      </c>
      <c r="G4">
        <v>161</v>
      </c>
    </row>
    <row r="5" spans="1:7" x14ac:dyDescent="0.35">
      <c r="A5" t="s">
        <v>2154</v>
      </c>
      <c r="B5">
        <v>19</v>
      </c>
      <c r="C5">
        <v>21</v>
      </c>
      <c r="D5">
        <v>19</v>
      </c>
      <c r="E5">
        <v>31</v>
      </c>
      <c r="F5">
        <v>18</v>
      </c>
      <c r="G5">
        <v>108</v>
      </c>
    </row>
    <row r="6" spans="1:7" x14ac:dyDescent="0.35">
      <c r="A6" t="s">
        <v>88</v>
      </c>
      <c r="B6">
        <v>52</v>
      </c>
      <c r="C6">
        <v>54</v>
      </c>
      <c r="D6">
        <v>62</v>
      </c>
      <c r="E6">
        <v>72</v>
      </c>
      <c r="F6">
        <v>62</v>
      </c>
      <c r="G6">
        <v>302</v>
      </c>
    </row>
    <row r="7" spans="1:7" x14ac:dyDescent="0.35">
      <c r="A7" t="s">
        <v>15</v>
      </c>
      <c r="B7">
        <v>101</v>
      </c>
      <c r="C7">
        <v>88</v>
      </c>
      <c r="D7">
        <v>91</v>
      </c>
      <c r="E7">
        <v>144</v>
      </c>
      <c r="F7">
        <v>97</v>
      </c>
      <c r="G7">
        <v>521</v>
      </c>
    </row>
    <row r="8" spans="1:7" x14ac:dyDescent="0.35">
      <c r="A8" t="s">
        <v>105</v>
      </c>
      <c r="B8">
        <v>67</v>
      </c>
      <c r="C8">
        <v>63</v>
      </c>
      <c r="D8">
        <v>92</v>
      </c>
      <c r="E8">
        <v>122</v>
      </c>
      <c r="F8">
        <v>64</v>
      </c>
      <c r="G8">
        <v>408</v>
      </c>
    </row>
    <row r="9" spans="1:7" x14ac:dyDescent="0.35">
      <c r="A9" s="20" t="s">
        <v>2262</v>
      </c>
      <c r="B9" s="20">
        <v>268</v>
      </c>
      <c r="C9" s="20">
        <v>255</v>
      </c>
      <c r="D9" s="20">
        <v>293</v>
      </c>
      <c r="E9" s="20">
        <v>415</v>
      </c>
      <c r="F9" s="20">
        <v>269</v>
      </c>
      <c r="G9" s="20">
        <v>1500</v>
      </c>
    </row>
    <row r="11" spans="1:7" ht="18.5" x14ac:dyDescent="0.45">
      <c r="B11" s="10" t="s">
        <v>2305</v>
      </c>
    </row>
    <row r="12" spans="1:7" x14ac:dyDescent="0.35">
      <c r="A12" s="13" t="s">
        <v>2264</v>
      </c>
      <c r="B12" s="13" t="s">
        <v>20</v>
      </c>
      <c r="C12" s="13" t="s">
        <v>40</v>
      </c>
      <c r="D12" s="13" t="s">
        <v>37</v>
      </c>
      <c r="E12" s="13" t="s">
        <v>26</v>
      </c>
      <c r="F12" s="13" t="s">
        <v>16</v>
      </c>
      <c r="G12" s="18" t="s">
        <v>2265</v>
      </c>
    </row>
    <row r="13" spans="1:7" x14ac:dyDescent="0.35">
      <c r="A13" s="11" t="s">
        <v>2153</v>
      </c>
      <c r="B13" s="16">
        <f>(161*268)/1500</f>
        <v>28.765333333333334</v>
      </c>
      <c r="C13">
        <f>(161*255)/1500</f>
        <v>27.37</v>
      </c>
      <c r="D13" s="16">
        <f>(161*293)/1500</f>
        <v>31.448666666666668</v>
      </c>
      <c r="E13" s="16">
        <f>(161*415)/1500</f>
        <v>44.543333333333337</v>
      </c>
      <c r="F13" s="16">
        <f>(161*269)/1500</f>
        <v>28.872666666666667</v>
      </c>
      <c r="G13" s="17">
        <f>_xlfn.CHISQ.TEST('Sampling Awareness'!J31:N35,B13:F17)</f>
        <v>0.81025430150175493</v>
      </c>
    </row>
    <row r="14" spans="1:7" x14ac:dyDescent="0.35">
      <c r="A14" s="11" t="s">
        <v>2154</v>
      </c>
      <c r="B14" s="16">
        <f>(108*268)/1500</f>
        <v>19.295999999999999</v>
      </c>
      <c r="C14">
        <f>(108*255)/1500</f>
        <v>18.36</v>
      </c>
      <c r="D14" s="16">
        <f>(108*293)/1500</f>
        <v>21.096</v>
      </c>
      <c r="E14" s="16">
        <f>(108*415)/1500</f>
        <v>29.88</v>
      </c>
      <c r="F14" s="16">
        <f>(108*269)/1500</f>
        <v>19.367999999999999</v>
      </c>
      <c r="G14" t="s">
        <v>2266</v>
      </c>
    </row>
    <row r="15" spans="1:7" x14ac:dyDescent="0.35">
      <c r="A15" s="11" t="s">
        <v>88</v>
      </c>
      <c r="B15" s="16">
        <f>(302*268)/1500</f>
        <v>53.957333333333331</v>
      </c>
      <c r="C15">
        <f>(302*255)/1500</f>
        <v>51.34</v>
      </c>
      <c r="D15" s="16">
        <f>(302*293)/1500</f>
        <v>58.990666666666669</v>
      </c>
      <c r="E15" s="16">
        <f>(302*415)/1500</f>
        <v>83.553333333333327</v>
      </c>
      <c r="F15" s="16">
        <f>(302*269)/1500</f>
        <v>54.158666666666669</v>
      </c>
      <c r="G15" t="s">
        <v>2267</v>
      </c>
    </row>
    <row r="16" spans="1:7" x14ac:dyDescent="0.35">
      <c r="A16" s="11" t="s">
        <v>15</v>
      </c>
      <c r="B16" s="16">
        <f>(521*268)/1500</f>
        <v>93.085333333333338</v>
      </c>
      <c r="C16">
        <f>(521*255)/1500</f>
        <v>88.57</v>
      </c>
      <c r="D16" s="16">
        <f>(521*293)/1500</f>
        <v>101.76866666666666</v>
      </c>
      <c r="E16" s="16">
        <f>(521*415)/1500</f>
        <v>144.14333333333335</v>
      </c>
      <c r="F16" s="16">
        <f>(521*269)/1500</f>
        <v>93.432666666666663</v>
      </c>
    </row>
    <row r="17" spans="1:6" x14ac:dyDescent="0.35">
      <c r="A17" s="11" t="s">
        <v>105</v>
      </c>
      <c r="B17" s="16">
        <f>(408*268)/1500</f>
        <v>72.896000000000001</v>
      </c>
      <c r="C17">
        <f>(408*255)/1500</f>
        <v>69.36</v>
      </c>
      <c r="D17" s="16">
        <f>(408*293)/1500</f>
        <v>79.695999999999998</v>
      </c>
      <c r="E17" s="16">
        <f>(408*415)/1500</f>
        <v>112.88</v>
      </c>
      <c r="F17" s="16">
        <f>(408*269)/1500</f>
        <v>73.168000000000006</v>
      </c>
    </row>
    <row r="19" spans="1:6" x14ac:dyDescent="0.35">
      <c r="A19" s="18" t="s">
        <v>2265</v>
      </c>
      <c r="B19" s="17">
        <f>G13</f>
        <v>0.81025430150175493</v>
      </c>
    </row>
    <row r="20" spans="1:6" x14ac:dyDescent="0.35">
      <c r="A20" s="17" t="s">
        <v>2302</v>
      </c>
    </row>
    <row r="21" spans="1:6" x14ac:dyDescent="0.35">
      <c r="A21" t="s">
        <v>2266</v>
      </c>
    </row>
    <row r="22" spans="1:6" x14ac:dyDescent="0.35">
      <c r="A22" t="s">
        <v>2267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0DCB-788D-4EF2-BA55-8C323A3D2E33}">
  <dimension ref="A1:I583"/>
  <sheetViews>
    <sheetView workbookViewId="0">
      <selection activeCell="D10" sqref="D10"/>
    </sheetView>
  </sheetViews>
  <sheetFormatPr defaultRowHeight="14.5" x14ac:dyDescent="0.35"/>
  <cols>
    <col min="1" max="1" width="10.90625" customWidth="1"/>
    <col min="2" max="2" width="13.7265625" customWidth="1"/>
    <col min="3" max="3" width="12.1796875" customWidth="1"/>
    <col min="5" max="5" width="11.81640625" bestFit="1" customWidth="1"/>
    <col min="6" max="6" width="12.453125" bestFit="1" customWidth="1"/>
    <col min="7" max="7" width="18.81640625" bestFit="1" customWidth="1"/>
    <col min="8" max="8" width="10.54296875" customWidth="1"/>
    <col min="9" max="9" width="11" customWidth="1"/>
  </cols>
  <sheetData>
    <row r="1" spans="1:9" x14ac:dyDescent="0.35">
      <c r="A1" t="s">
        <v>2268</v>
      </c>
      <c r="F1" s="6" t="s">
        <v>2294</v>
      </c>
      <c r="G1">
        <v>1.9499999999999999E-3</v>
      </c>
      <c r="H1" t="s">
        <v>2298</v>
      </c>
    </row>
    <row r="2" spans="1:9" ht="15" thickBot="1" x14ac:dyDescent="0.4">
      <c r="F2" s="6" t="s">
        <v>2295</v>
      </c>
      <c r="G2" t="s">
        <v>2304</v>
      </c>
      <c r="H2" t="s">
        <v>2303</v>
      </c>
    </row>
    <row r="3" spans="1:9" x14ac:dyDescent="0.35">
      <c r="A3" s="5" t="s">
        <v>2269</v>
      </c>
      <c r="B3" s="5"/>
      <c r="F3" s="6" t="s">
        <v>2296</v>
      </c>
      <c r="G3">
        <v>0.29699999999999999</v>
      </c>
      <c r="H3" t="s">
        <v>2297</v>
      </c>
    </row>
    <row r="4" spans="1:9" x14ac:dyDescent="0.35">
      <c r="A4" s="2" t="s">
        <v>2270</v>
      </c>
      <c r="B4" s="2">
        <v>4.4127031637904261E-2</v>
      </c>
    </row>
    <row r="5" spans="1:9" x14ac:dyDescent="0.35">
      <c r="A5" s="2" t="s">
        <v>2271</v>
      </c>
      <c r="B5" s="2">
        <v>1.9471949211726037E-3</v>
      </c>
    </row>
    <row r="6" spans="1:9" x14ac:dyDescent="0.35">
      <c r="A6" s="2" t="s">
        <v>2272</v>
      </c>
      <c r="B6" s="2">
        <v>1.6176950958257265E-4</v>
      </c>
    </row>
    <row r="7" spans="1:9" x14ac:dyDescent="0.35">
      <c r="A7" s="2" t="s">
        <v>2213</v>
      </c>
      <c r="B7" s="2">
        <v>37391.030011475152</v>
      </c>
    </row>
    <row r="8" spans="1:9" ht="15" thickBot="1" x14ac:dyDescent="0.4">
      <c r="A8" s="3" t="s">
        <v>2249</v>
      </c>
      <c r="B8" s="3">
        <v>561</v>
      </c>
    </row>
    <row r="10" spans="1:9" ht="15" thickBot="1" x14ac:dyDescent="0.4">
      <c r="A10" t="s">
        <v>2273</v>
      </c>
    </row>
    <row r="11" spans="1:9" x14ac:dyDescent="0.35">
      <c r="A11" s="4"/>
      <c r="B11" s="4" t="s">
        <v>2251</v>
      </c>
      <c r="C11" s="4" t="s">
        <v>2278</v>
      </c>
      <c r="D11" s="4" t="s">
        <v>2279</v>
      </c>
      <c r="E11" s="4" t="s">
        <v>2280</v>
      </c>
      <c r="F11" s="4" t="s">
        <v>2281</v>
      </c>
    </row>
    <row r="12" spans="1:9" x14ac:dyDescent="0.35">
      <c r="A12" s="2" t="s">
        <v>2274</v>
      </c>
      <c r="B12" s="2">
        <v>1</v>
      </c>
      <c r="C12" s="2">
        <v>1524763805.0269775</v>
      </c>
      <c r="D12" s="2">
        <v>1524763805.0269775</v>
      </c>
      <c r="E12" s="2">
        <v>1.0906055825869012</v>
      </c>
      <c r="F12" s="2">
        <v>0.29678846098496131</v>
      </c>
    </row>
    <row r="13" spans="1:9" x14ac:dyDescent="0.35">
      <c r="A13" s="2" t="s">
        <v>2275</v>
      </c>
      <c r="B13" s="2">
        <v>559</v>
      </c>
      <c r="C13" s="2">
        <v>781531821053.3407</v>
      </c>
      <c r="D13" s="2">
        <v>1398089125.3190353</v>
      </c>
      <c r="E13" s="2"/>
      <c r="F13" s="2"/>
    </row>
    <row r="14" spans="1:9" ht="15" thickBot="1" x14ac:dyDescent="0.4">
      <c r="A14" s="3" t="s">
        <v>2276</v>
      </c>
      <c r="B14" s="3">
        <v>560</v>
      </c>
      <c r="C14" s="3">
        <v>783056584858.36768</v>
      </c>
      <c r="D14" s="3"/>
      <c r="E14" s="3"/>
      <c r="F14" s="3"/>
    </row>
    <row r="15" spans="1:9" ht="15" thickBot="1" x14ac:dyDescent="0.4"/>
    <row r="16" spans="1:9" x14ac:dyDescent="0.35">
      <c r="A16" s="4"/>
      <c r="B16" s="4" t="s">
        <v>2282</v>
      </c>
      <c r="C16" s="4" t="s">
        <v>2213</v>
      </c>
      <c r="D16" s="4" t="s">
        <v>2252</v>
      </c>
      <c r="E16" s="4" t="s">
        <v>2283</v>
      </c>
      <c r="F16" s="4" t="s">
        <v>2284</v>
      </c>
      <c r="G16" s="4" t="s">
        <v>2285</v>
      </c>
      <c r="H16" s="4" t="s">
        <v>2286</v>
      </c>
      <c r="I16" s="4" t="s">
        <v>2287</v>
      </c>
    </row>
    <row r="17" spans="1:9" x14ac:dyDescent="0.35">
      <c r="A17" s="2" t="s">
        <v>2277</v>
      </c>
      <c r="B17" s="2">
        <v>55196.303110551533</v>
      </c>
      <c r="C17" s="2">
        <v>4664.6881392767391</v>
      </c>
      <c r="D17" s="2">
        <v>11.832795990325247</v>
      </c>
      <c r="E17" s="2">
        <v>5.5178810857081167E-29</v>
      </c>
      <c r="F17" s="2">
        <v>46033.844260827274</v>
      </c>
      <c r="G17" s="2">
        <v>64358.761960275791</v>
      </c>
      <c r="H17" s="2">
        <v>46033.844260827274</v>
      </c>
      <c r="I17" s="2">
        <v>64358.761960275791</v>
      </c>
    </row>
    <row r="18" spans="1:9" ht="15" thickBot="1" x14ac:dyDescent="0.4">
      <c r="A18" s="3" t="s">
        <v>2292</v>
      </c>
      <c r="B18" s="3">
        <v>1523.4679828084065</v>
      </c>
      <c r="C18" s="3">
        <v>1458.8124911169382</v>
      </c>
      <c r="D18" s="3">
        <v>1.0443206320792915</v>
      </c>
      <c r="E18" s="3">
        <v>0.29678846098505218</v>
      </c>
      <c r="F18" s="3">
        <v>-1341.956032738992</v>
      </c>
      <c r="G18" s="3">
        <v>4388.8919983558053</v>
      </c>
      <c r="H18" s="3">
        <v>-1341.956032738992</v>
      </c>
      <c r="I18" s="3">
        <v>4388.8919983558053</v>
      </c>
    </row>
    <row r="20" spans="1:9" x14ac:dyDescent="0.35">
      <c r="A20" t="s">
        <v>2288</v>
      </c>
    </row>
    <row r="21" spans="1:9" ht="15" thickBot="1" x14ac:dyDescent="0.4"/>
    <row r="22" spans="1:9" x14ac:dyDescent="0.35">
      <c r="A22" s="4" t="s">
        <v>2289</v>
      </c>
      <c r="B22" s="4" t="s">
        <v>2291</v>
      </c>
      <c r="C22" s="4" t="s">
        <v>2290</v>
      </c>
    </row>
    <row r="23" spans="1:9" x14ac:dyDescent="0.35">
      <c r="A23" s="2">
        <v>1</v>
      </c>
      <c r="B23" s="2">
        <v>61290.175041785158</v>
      </c>
      <c r="C23" s="2">
        <v>-31290.175041785158</v>
      </c>
    </row>
    <row r="24" spans="1:9" x14ac:dyDescent="0.35">
      <c r="A24" s="2">
        <v>2</v>
      </c>
      <c r="B24" s="2">
        <v>59766.707058976754</v>
      </c>
      <c r="C24" s="2">
        <v>-23083.707058976754</v>
      </c>
    </row>
    <row r="25" spans="1:9" x14ac:dyDescent="0.35">
      <c r="A25" s="2">
        <v>3</v>
      </c>
      <c r="B25" s="2">
        <v>59766.707058976754</v>
      </c>
      <c r="C25" s="2">
        <v>-29766.707058976754</v>
      </c>
    </row>
    <row r="26" spans="1:9" x14ac:dyDescent="0.35">
      <c r="A26" s="2">
        <v>4</v>
      </c>
      <c r="B26" s="2">
        <v>59766.707058976754</v>
      </c>
      <c r="C26" s="2">
        <v>-8145.7070589767536</v>
      </c>
    </row>
    <row r="27" spans="1:9" x14ac:dyDescent="0.35">
      <c r="A27" s="2">
        <v>5</v>
      </c>
      <c r="B27" s="2">
        <v>61290.175041785158</v>
      </c>
      <c r="C27" s="2">
        <v>12044.824958214842</v>
      </c>
    </row>
    <row r="28" spans="1:9" x14ac:dyDescent="0.35">
      <c r="A28" s="2">
        <v>6</v>
      </c>
      <c r="B28" s="2">
        <v>62813.643024593563</v>
      </c>
      <c r="C28" s="2">
        <v>-15866.643024593563</v>
      </c>
    </row>
    <row r="29" spans="1:9" x14ac:dyDescent="0.35">
      <c r="A29" s="2">
        <v>7</v>
      </c>
      <c r="B29" s="2">
        <v>61290.175041785158</v>
      </c>
      <c r="C29" s="2">
        <v>-21381.175041785158</v>
      </c>
    </row>
    <row r="30" spans="1:9" x14ac:dyDescent="0.35">
      <c r="A30" s="2">
        <v>8</v>
      </c>
      <c r="B30" s="2">
        <v>61290.175041785158</v>
      </c>
      <c r="C30" s="2">
        <v>-15943.175041785158</v>
      </c>
    </row>
    <row r="31" spans="1:9" x14ac:dyDescent="0.35">
      <c r="A31" s="2">
        <v>9</v>
      </c>
      <c r="B31" s="2">
        <v>59766.707058976754</v>
      </c>
      <c r="C31" s="2">
        <v>-29766.707058976754</v>
      </c>
    </row>
    <row r="32" spans="1:9" x14ac:dyDescent="0.35">
      <c r="A32" s="2">
        <v>10</v>
      </c>
      <c r="B32" s="2">
        <v>56719.771093359937</v>
      </c>
      <c r="C32" s="2">
        <v>-26719.771093359937</v>
      </c>
    </row>
    <row r="33" spans="1:3" x14ac:dyDescent="0.35">
      <c r="A33" s="2">
        <v>11</v>
      </c>
      <c r="B33" s="2">
        <v>59766.707058976754</v>
      </c>
      <c r="C33" s="2">
        <v>1254.2929410232464</v>
      </c>
    </row>
    <row r="34" spans="1:3" x14ac:dyDescent="0.35">
      <c r="A34" s="2">
        <v>12</v>
      </c>
      <c r="B34" s="2">
        <v>59766.707058976754</v>
      </c>
      <c r="C34" s="2">
        <v>-29766.707058976754</v>
      </c>
    </row>
    <row r="35" spans="1:3" x14ac:dyDescent="0.35">
      <c r="A35" s="2">
        <v>13</v>
      </c>
      <c r="B35" s="2">
        <v>61290.175041785158</v>
      </c>
      <c r="C35" s="2">
        <v>-31290.175041785158</v>
      </c>
    </row>
    <row r="36" spans="1:3" x14ac:dyDescent="0.35">
      <c r="A36" s="2">
        <v>14</v>
      </c>
      <c r="B36" s="2">
        <v>58243.239076168349</v>
      </c>
      <c r="C36" s="2">
        <v>-19499.239076168349</v>
      </c>
    </row>
    <row r="37" spans="1:3" x14ac:dyDescent="0.35">
      <c r="A37" s="2">
        <v>15</v>
      </c>
      <c r="B37" s="2">
        <v>61290.175041785158</v>
      </c>
      <c r="C37" s="2">
        <v>-31290.175041785158</v>
      </c>
    </row>
    <row r="38" spans="1:3" x14ac:dyDescent="0.35">
      <c r="A38" s="2">
        <v>16</v>
      </c>
      <c r="B38" s="2">
        <v>59766.707058976754</v>
      </c>
      <c r="C38" s="2">
        <v>-29766.707058976754</v>
      </c>
    </row>
    <row r="39" spans="1:3" x14ac:dyDescent="0.35">
      <c r="A39" s="2">
        <v>17</v>
      </c>
      <c r="B39" s="2">
        <v>59766.707058976754</v>
      </c>
      <c r="C39" s="2">
        <v>-11700.707058976754</v>
      </c>
    </row>
    <row r="40" spans="1:3" x14ac:dyDescent="0.35">
      <c r="A40" s="2">
        <v>18</v>
      </c>
      <c r="B40" s="2">
        <v>61290.175041785158</v>
      </c>
      <c r="C40" s="2">
        <v>-31290.175041785158</v>
      </c>
    </row>
    <row r="41" spans="1:3" x14ac:dyDescent="0.35">
      <c r="A41" s="2">
        <v>19</v>
      </c>
      <c r="B41" s="2">
        <v>58243.239076168349</v>
      </c>
      <c r="C41" s="2">
        <v>-7864.2390761683491</v>
      </c>
    </row>
    <row r="42" spans="1:3" x14ac:dyDescent="0.35">
      <c r="A42" s="2">
        <v>20</v>
      </c>
      <c r="B42" s="2">
        <v>59766.707058976754</v>
      </c>
      <c r="C42" s="2">
        <v>24097.292941023246</v>
      </c>
    </row>
    <row r="43" spans="1:3" x14ac:dyDescent="0.35">
      <c r="A43" s="2">
        <v>21</v>
      </c>
      <c r="B43" s="2">
        <v>58243.239076168349</v>
      </c>
      <c r="C43" s="2">
        <v>-28243.239076168349</v>
      </c>
    </row>
    <row r="44" spans="1:3" x14ac:dyDescent="0.35">
      <c r="A44" s="2">
        <v>22</v>
      </c>
      <c r="B44" s="2">
        <v>61290.175041785158</v>
      </c>
      <c r="C44" s="2">
        <v>55126.824958214842</v>
      </c>
    </row>
    <row r="45" spans="1:3" x14ac:dyDescent="0.35">
      <c r="A45" s="2">
        <v>23</v>
      </c>
      <c r="B45" s="2">
        <v>59766.707058976754</v>
      </c>
      <c r="C45" s="2">
        <v>-29766.707058976754</v>
      </c>
    </row>
    <row r="46" spans="1:3" x14ac:dyDescent="0.35">
      <c r="A46" s="2">
        <v>24</v>
      </c>
      <c r="B46" s="2">
        <v>58243.239076168349</v>
      </c>
      <c r="C46" s="2">
        <v>7628.7609238316509</v>
      </c>
    </row>
    <row r="47" spans="1:3" x14ac:dyDescent="0.35">
      <c r="A47" s="2">
        <v>25</v>
      </c>
      <c r="B47" s="2">
        <v>61290.175041785158</v>
      </c>
      <c r="C47" s="2">
        <v>13155.824958214842</v>
      </c>
    </row>
    <row r="48" spans="1:3" x14ac:dyDescent="0.35">
      <c r="A48" s="2">
        <v>26</v>
      </c>
      <c r="B48" s="2">
        <v>59766.707058976754</v>
      </c>
      <c r="C48" s="2">
        <v>8115.2929410232464</v>
      </c>
    </row>
    <row r="49" spans="1:3" x14ac:dyDescent="0.35">
      <c r="A49" s="2">
        <v>27</v>
      </c>
      <c r="B49" s="2">
        <v>59766.707058976754</v>
      </c>
      <c r="C49" s="2">
        <v>27932.292941023246</v>
      </c>
    </row>
    <row r="50" spans="1:3" x14ac:dyDescent="0.35">
      <c r="A50" s="2">
        <v>28</v>
      </c>
      <c r="B50" s="2">
        <v>61290.175041785158</v>
      </c>
      <c r="C50" s="2">
        <v>-31290.175041785158</v>
      </c>
    </row>
    <row r="51" spans="1:3" x14ac:dyDescent="0.35">
      <c r="A51" s="2">
        <v>29</v>
      </c>
      <c r="B51" s="2">
        <v>59766.707058976754</v>
      </c>
      <c r="C51" s="2">
        <v>-23752.707058976754</v>
      </c>
    </row>
    <row r="52" spans="1:3" x14ac:dyDescent="0.35">
      <c r="A52" s="2">
        <v>30</v>
      </c>
      <c r="B52" s="2">
        <v>62813.643024593563</v>
      </c>
      <c r="C52" s="2">
        <v>-30032.643024593563</v>
      </c>
    </row>
    <row r="53" spans="1:3" x14ac:dyDescent="0.35">
      <c r="A53" s="2">
        <v>31</v>
      </c>
      <c r="B53" s="2">
        <v>61290.175041785158</v>
      </c>
      <c r="C53" s="2">
        <v>-31290.175041785158</v>
      </c>
    </row>
    <row r="54" spans="1:3" x14ac:dyDescent="0.35">
      <c r="A54" s="2">
        <v>32</v>
      </c>
      <c r="B54" s="2">
        <v>56719.771093359937</v>
      </c>
      <c r="C54" s="2">
        <v>-26719.771093359937</v>
      </c>
    </row>
    <row r="55" spans="1:3" x14ac:dyDescent="0.35">
      <c r="A55" s="2">
        <v>33</v>
      </c>
      <c r="B55" s="2">
        <v>61290.175041785158</v>
      </c>
      <c r="C55" s="2">
        <v>-6569.1750417851581</v>
      </c>
    </row>
    <row r="56" spans="1:3" x14ac:dyDescent="0.35">
      <c r="A56" s="2">
        <v>34</v>
      </c>
      <c r="B56" s="2">
        <v>59766.707058976754</v>
      </c>
      <c r="C56" s="2">
        <v>-29766.707058976754</v>
      </c>
    </row>
    <row r="57" spans="1:3" x14ac:dyDescent="0.35">
      <c r="A57" s="2">
        <v>35</v>
      </c>
      <c r="B57" s="2">
        <v>61290.175041785158</v>
      </c>
      <c r="C57" s="2">
        <v>4800.8249582148419</v>
      </c>
    </row>
    <row r="58" spans="1:3" x14ac:dyDescent="0.35">
      <c r="A58" s="2">
        <v>36</v>
      </c>
      <c r="B58" s="2">
        <v>61290.175041785158</v>
      </c>
      <c r="C58" s="2">
        <v>26571.824958214842</v>
      </c>
    </row>
    <row r="59" spans="1:3" x14ac:dyDescent="0.35">
      <c r="A59" s="2">
        <v>37</v>
      </c>
      <c r="B59" s="2">
        <v>59766.707058976754</v>
      </c>
      <c r="C59" s="2">
        <v>-25021.707058976754</v>
      </c>
    </row>
    <row r="60" spans="1:3" x14ac:dyDescent="0.35">
      <c r="A60" s="2">
        <v>38</v>
      </c>
      <c r="B60" s="2">
        <v>59766.707058976754</v>
      </c>
      <c r="C60" s="2">
        <v>14037.292941023246</v>
      </c>
    </row>
    <row r="61" spans="1:3" x14ac:dyDescent="0.35">
      <c r="A61" s="2">
        <v>39</v>
      </c>
      <c r="B61" s="2">
        <v>58243.239076168349</v>
      </c>
      <c r="C61" s="2">
        <v>30105.760923831651</v>
      </c>
    </row>
    <row r="62" spans="1:3" x14ac:dyDescent="0.35">
      <c r="A62" s="2">
        <v>40</v>
      </c>
      <c r="B62" s="2">
        <v>58243.239076168349</v>
      </c>
      <c r="C62" s="2">
        <v>-8851.2390761683491</v>
      </c>
    </row>
    <row r="63" spans="1:3" x14ac:dyDescent="0.35">
      <c r="A63" s="2">
        <v>41</v>
      </c>
      <c r="B63" s="2">
        <v>58243.239076168349</v>
      </c>
      <c r="C63" s="2">
        <v>14687.760923831651</v>
      </c>
    </row>
    <row r="64" spans="1:3" x14ac:dyDescent="0.35">
      <c r="A64" s="2">
        <v>42</v>
      </c>
      <c r="B64" s="2">
        <v>61290.175041785158</v>
      </c>
      <c r="C64" s="2">
        <v>-31290.175041785158</v>
      </c>
    </row>
    <row r="65" spans="1:3" x14ac:dyDescent="0.35">
      <c r="A65" s="2">
        <v>43</v>
      </c>
      <c r="B65" s="2">
        <v>59766.707058976754</v>
      </c>
      <c r="C65" s="2">
        <v>-28882.707058976754</v>
      </c>
    </row>
    <row r="66" spans="1:3" x14ac:dyDescent="0.35">
      <c r="A66" s="2">
        <v>44</v>
      </c>
      <c r="B66" s="2">
        <v>58243.239076168349</v>
      </c>
      <c r="C66" s="2">
        <v>-27310.239076168349</v>
      </c>
    </row>
    <row r="67" spans="1:3" x14ac:dyDescent="0.35">
      <c r="A67" s="2">
        <v>45</v>
      </c>
      <c r="B67" s="2">
        <v>62813.643024593563</v>
      </c>
      <c r="C67" s="2">
        <v>-22421.643024593563</v>
      </c>
    </row>
    <row r="68" spans="1:3" x14ac:dyDescent="0.35">
      <c r="A68" s="2">
        <v>46</v>
      </c>
      <c r="B68" s="2">
        <v>59766.707058976754</v>
      </c>
      <c r="C68" s="2">
        <v>6565.2929410232464</v>
      </c>
    </row>
    <row r="69" spans="1:3" x14ac:dyDescent="0.35">
      <c r="A69" s="2">
        <v>47</v>
      </c>
      <c r="B69" s="2">
        <v>59766.707058976754</v>
      </c>
      <c r="C69" s="2">
        <v>-3209.7070589767536</v>
      </c>
    </row>
    <row r="70" spans="1:3" x14ac:dyDescent="0.35">
      <c r="A70" s="2">
        <v>48</v>
      </c>
      <c r="B70" s="2">
        <v>62813.643024593563</v>
      </c>
      <c r="C70" s="2">
        <v>-4169.6430245935626</v>
      </c>
    </row>
    <row r="71" spans="1:3" x14ac:dyDescent="0.35">
      <c r="A71" s="2">
        <v>49</v>
      </c>
      <c r="B71" s="2">
        <v>58243.239076168349</v>
      </c>
      <c r="C71" s="2">
        <v>-28243.239076168349</v>
      </c>
    </row>
    <row r="72" spans="1:3" x14ac:dyDescent="0.35">
      <c r="A72" s="2">
        <v>50</v>
      </c>
      <c r="B72" s="2">
        <v>58243.239076168349</v>
      </c>
      <c r="C72" s="2">
        <v>53577.760923831651</v>
      </c>
    </row>
    <row r="73" spans="1:3" x14ac:dyDescent="0.35">
      <c r="A73" s="2">
        <v>51</v>
      </c>
      <c r="B73" s="2">
        <v>59766.707058976754</v>
      </c>
      <c r="C73" s="2">
        <v>-26407.707058976754</v>
      </c>
    </row>
    <row r="74" spans="1:3" x14ac:dyDescent="0.35">
      <c r="A74" s="2">
        <v>52</v>
      </c>
      <c r="B74" s="2">
        <v>61290.175041785158</v>
      </c>
      <c r="C74" s="2">
        <v>-31290.175041785158</v>
      </c>
    </row>
    <row r="75" spans="1:3" x14ac:dyDescent="0.35">
      <c r="A75" s="2">
        <v>53</v>
      </c>
      <c r="B75" s="2">
        <v>59766.707058976754</v>
      </c>
      <c r="C75" s="2">
        <v>-17575.707058976754</v>
      </c>
    </row>
    <row r="76" spans="1:3" x14ac:dyDescent="0.35">
      <c r="A76" s="2">
        <v>54</v>
      </c>
      <c r="B76" s="2">
        <v>56719.771093359937</v>
      </c>
      <c r="C76" s="2">
        <v>-1528.7710933599374</v>
      </c>
    </row>
    <row r="77" spans="1:3" x14ac:dyDescent="0.35">
      <c r="A77" s="2">
        <v>55</v>
      </c>
      <c r="B77" s="2">
        <v>61290.175041785158</v>
      </c>
      <c r="C77" s="2">
        <v>16003.824958214842</v>
      </c>
    </row>
    <row r="78" spans="1:3" x14ac:dyDescent="0.35">
      <c r="A78" s="2">
        <v>56</v>
      </c>
      <c r="B78" s="2">
        <v>61290.175041785158</v>
      </c>
      <c r="C78" s="2">
        <v>-1581.1750417851581</v>
      </c>
    </row>
    <row r="79" spans="1:3" x14ac:dyDescent="0.35">
      <c r="A79" s="2">
        <v>57</v>
      </c>
      <c r="B79" s="2">
        <v>61290.175041785158</v>
      </c>
      <c r="C79" s="2">
        <v>-31290.175041785158</v>
      </c>
    </row>
    <row r="80" spans="1:3" x14ac:dyDescent="0.35">
      <c r="A80" s="2">
        <v>58</v>
      </c>
      <c r="B80" s="2">
        <v>59766.707058976754</v>
      </c>
      <c r="C80" s="2">
        <v>10492.292941023246</v>
      </c>
    </row>
    <row r="81" spans="1:3" x14ac:dyDescent="0.35">
      <c r="A81" s="2">
        <v>59</v>
      </c>
      <c r="B81" s="2">
        <v>58243.239076168349</v>
      </c>
      <c r="C81" s="2">
        <v>-25431.239076168349</v>
      </c>
    </row>
    <row r="82" spans="1:3" x14ac:dyDescent="0.35">
      <c r="A82" s="2">
        <v>60</v>
      </c>
      <c r="B82" s="2">
        <v>59766.707058976754</v>
      </c>
      <c r="C82" s="2">
        <v>-4240.7070589767536</v>
      </c>
    </row>
    <row r="83" spans="1:3" x14ac:dyDescent="0.35">
      <c r="A83" s="2">
        <v>61</v>
      </c>
      <c r="B83" s="2">
        <v>56719.771093359937</v>
      </c>
      <c r="C83" s="2">
        <v>-2485.7710933599374</v>
      </c>
    </row>
    <row r="84" spans="1:3" x14ac:dyDescent="0.35">
      <c r="A84" s="2">
        <v>62</v>
      </c>
      <c r="B84" s="2">
        <v>59766.707058976754</v>
      </c>
      <c r="C84" s="2">
        <v>4584.2929410232464</v>
      </c>
    </row>
    <row r="85" spans="1:3" x14ac:dyDescent="0.35">
      <c r="A85" s="2">
        <v>63</v>
      </c>
      <c r="B85" s="2">
        <v>59766.707058976754</v>
      </c>
      <c r="C85" s="2">
        <v>-14533.707058976754</v>
      </c>
    </row>
    <row r="86" spans="1:3" x14ac:dyDescent="0.35">
      <c r="A86" s="2">
        <v>64</v>
      </c>
      <c r="B86" s="2">
        <v>59766.707058976754</v>
      </c>
      <c r="C86" s="2">
        <v>-29766.707058976754</v>
      </c>
    </row>
    <row r="87" spans="1:3" x14ac:dyDescent="0.35">
      <c r="A87" s="2">
        <v>65</v>
      </c>
      <c r="B87" s="2">
        <v>61290.175041785158</v>
      </c>
      <c r="C87" s="2">
        <v>-25020.175041785158</v>
      </c>
    </row>
    <row r="88" spans="1:3" x14ac:dyDescent="0.35">
      <c r="A88" s="2">
        <v>66</v>
      </c>
      <c r="B88" s="2">
        <v>62813.643024593563</v>
      </c>
      <c r="C88" s="2">
        <v>-14870.643024593563</v>
      </c>
    </row>
    <row r="89" spans="1:3" x14ac:dyDescent="0.35">
      <c r="A89" s="2">
        <v>67</v>
      </c>
      <c r="B89" s="2">
        <v>62813.643024593563</v>
      </c>
      <c r="C89" s="2">
        <v>14874.356975406437</v>
      </c>
    </row>
    <row r="90" spans="1:3" x14ac:dyDescent="0.35">
      <c r="A90" s="2">
        <v>68</v>
      </c>
      <c r="B90" s="2">
        <v>58243.239076168349</v>
      </c>
      <c r="C90" s="2">
        <v>34656.760923831651</v>
      </c>
    </row>
    <row r="91" spans="1:3" x14ac:dyDescent="0.35">
      <c r="A91" s="2">
        <v>69</v>
      </c>
      <c r="B91" s="2">
        <v>56719.771093359937</v>
      </c>
      <c r="C91" s="2">
        <v>-26719.771093359937</v>
      </c>
    </row>
    <row r="92" spans="1:3" x14ac:dyDescent="0.35">
      <c r="A92" s="2">
        <v>70</v>
      </c>
      <c r="B92" s="2">
        <v>59766.707058976754</v>
      </c>
      <c r="C92" s="2">
        <v>-22838.707058976754</v>
      </c>
    </row>
    <row r="93" spans="1:3" x14ac:dyDescent="0.35">
      <c r="A93" s="2">
        <v>71</v>
      </c>
      <c r="B93" s="2">
        <v>59766.707058976754</v>
      </c>
      <c r="C93" s="2">
        <v>34118.292941023246</v>
      </c>
    </row>
    <row r="94" spans="1:3" x14ac:dyDescent="0.35">
      <c r="A94" s="2">
        <v>72</v>
      </c>
      <c r="B94" s="2">
        <v>58243.239076168349</v>
      </c>
      <c r="C94" s="2">
        <v>5470.7609238316509</v>
      </c>
    </row>
    <row r="95" spans="1:3" x14ac:dyDescent="0.35">
      <c r="A95" s="2">
        <v>73</v>
      </c>
      <c r="B95" s="2">
        <v>61290.175041785158</v>
      </c>
      <c r="C95" s="2">
        <v>-24744.175041785158</v>
      </c>
    </row>
    <row r="96" spans="1:3" x14ac:dyDescent="0.35">
      <c r="A96" s="2">
        <v>74</v>
      </c>
      <c r="B96" s="2">
        <v>59766.707058976754</v>
      </c>
      <c r="C96" s="2">
        <v>25325.292941023246</v>
      </c>
    </row>
    <row r="97" spans="1:3" x14ac:dyDescent="0.35">
      <c r="A97" s="2">
        <v>75</v>
      </c>
      <c r="B97" s="2">
        <v>58243.239076168349</v>
      </c>
      <c r="C97" s="2">
        <v>38133.760923831651</v>
      </c>
    </row>
    <row r="98" spans="1:3" x14ac:dyDescent="0.35">
      <c r="A98" s="2">
        <v>76</v>
      </c>
      <c r="B98" s="2">
        <v>56719.771093359937</v>
      </c>
      <c r="C98" s="2">
        <v>-23557.771093359937</v>
      </c>
    </row>
    <row r="99" spans="1:3" x14ac:dyDescent="0.35">
      <c r="A99" s="2">
        <v>77</v>
      </c>
      <c r="B99" s="2">
        <v>61290.175041785158</v>
      </c>
      <c r="C99" s="2">
        <v>-31290.175041785158</v>
      </c>
    </row>
    <row r="100" spans="1:3" x14ac:dyDescent="0.35">
      <c r="A100" s="2">
        <v>78</v>
      </c>
      <c r="B100" s="2">
        <v>61290.175041785158</v>
      </c>
      <c r="C100" s="2">
        <v>-8526.1750417851581</v>
      </c>
    </row>
    <row r="101" spans="1:3" x14ac:dyDescent="0.35">
      <c r="A101" s="2">
        <v>79</v>
      </c>
      <c r="B101" s="2">
        <v>62813.643024593563</v>
      </c>
      <c r="C101" s="2">
        <v>-10882.643024593563</v>
      </c>
    </row>
    <row r="102" spans="1:3" x14ac:dyDescent="0.35">
      <c r="A102" s="2">
        <v>80</v>
      </c>
      <c r="B102" s="2">
        <v>61290.175041785158</v>
      </c>
      <c r="C102" s="2">
        <v>-31132.175041785158</v>
      </c>
    </row>
    <row r="103" spans="1:3" x14ac:dyDescent="0.35">
      <c r="A103" s="2">
        <v>81</v>
      </c>
      <c r="B103" s="2">
        <v>61290.175041785158</v>
      </c>
      <c r="C103" s="2">
        <v>-14300.175041785158</v>
      </c>
    </row>
    <row r="104" spans="1:3" x14ac:dyDescent="0.35">
      <c r="A104" s="2">
        <v>82</v>
      </c>
      <c r="B104" s="2">
        <v>61290.175041785158</v>
      </c>
      <c r="C104" s="2">
        <v>60958.824958214842</v>
      </c>
    </row>
    <row r="105" spans="1:3" x14ac:dyDescent="0.35">
      <c r="A105" s="2">
        <v>83</v>
      </c>
      <c r="B105" s="2">
        <v>61290.175041785158</v>
      </c>
      <c r="C105" s="2">
        <v>2703.8249582148419</v>
      </c>
    </row>
    <row r="106" spans="1:3" x14ac:dyDescent="0.35">
      <c r="A106" s="2">
        <v>84</v>
      </c>
      <c r="B106" s="2">
        <v>58243.239076168349</v>
      </c>
      <c r="C106" s="2">
        <v>22606.760923831651</v>
      </c>
    </row>
    <row r="107" spans="1:3" x14ac:dyDescent="0.35">
      <c r="A107" s="2">
        <v>85</v>
      </c>
      <c r="B107" s="2">
        <v>58243.239076168349</v>
      </c>
      <c r="C107" s="2">
        <v>-28243.239076168349</v>
      </c>
    </row>
    <row r="108" spans="1:3" x14ac:dyDescent="0.35">
      <c r="A108" s="2">
        <v>86</v>
      </c>
      <c r="B108" s="2">
        <v>61290.175041785158</v>
      </c>
      <c r="C108" s="2">
        <v>16733.824958214842</v>
      </c>
    </row>
    <row r="109" spans="1:3" x14ac:dyDescent="0.35">
      <c r="A109" s="2">
        <v>87</v>
      </c>
      <c r="B109" s="2">
        <v>61290.175041785158</v>
      </c>
      <c r="C109" s="2">
        <v>5516.8249582148419</v>
      </c>
    </row>
    <row r="110" spans="1:3" x14ac:dyDescent="0.35">
      <c r="A110" s="2">
        <v>88</v>
      </c>
      <c r="B110" s="2">
        <v>61290.175041785158</v>
      </c>
      <c r="C110" s="2">
        <v>50910.824958214842</v>
      </c>
    </row>
    <row r="111" spans="1:3" x14ac:dyDescent="0.35">
      <c r="A111" s="2">
        <v>89</v>
      </c>
      <c r="B111" s="2">
        <v>61290.175041785158</v>
      </c>
      <c r="C111" s="2">
        <v>1213.8249582148419</v>
      </c>
    </row>
    <row r="112" spans="1:3" x14ac:dyDescent="0.35">
      <c r="A112" s="2">
        <v>90</v>
      </c>
      <c r="B112" s="2">
        <v>59766.707058976754</v>
      </c>
      <c r="C112" s="2">
        <v>-25611.707058976754</v>
      </c>
    </row>
    <row r="113" spans="1:3" x14ac:dyDescent="0.35">
      <c r="A113" s="2">
        <v>91</v>
      </c>
      <c r="B113" s="2">
        <v>61290.175041785158</v>
      </c>
      <c r="C113" s="2">
        <v>-29229.175041785158</v>
      </c>
    </row>
    <row r="114" spans="1:3" x14ac:dyDescent="0.35">
      <c r="A114" s="2">
        <v>92</v>
      </c>
      <c r="B114" s="2">
        <v>59766.707058976754</v>
      </c>
      <c r="C114" s="2">
        <v>-11756.707058976754</v>
      </c>
    </row>
    <row r="115" spans="1:3" x14ac:dyDescent="0.35">
      <c r="A115" s="2">
        <v>93</v>
      </c>
      <c r="B115" s="2">
        <v>56719.771093359937</v>
      </c>
      <c r="C115" s="2">
        <v>-26248.771093359937</v>
      </c>
    </row>
    <row r="116" spans="1:3" x14ac:dyDescent="0.35">
      <c r="A116" s="2">
        <v>94</v>
      </c>
      <c r="B116" s="2">
        <v>58243.239076168349</v>
      </c>
      <c r="C116" s="2">
        <v>13421.760923831651</v>
      </c>
    </row>
    <row r="117" spans="1:3" x14ac:dyDescent="0.35">
      <c r="A117" s="2">
        <v>95</v>
      </c>
      <c r="B117" s="2">
        <v>59766.707058976754</v>
      </c>
      <c r="C117" s="2">
        <v>93215.292941023246</v>
      </c>
    </row>
    <row r="118" spans="1:3" x14ac:dyDescent="0.35">
      <c r="A118" s="2">
        <v>96</v>
      </c>
      <c r="B118" s="2">
        <v>61290.175041785158</v>
      </c>
      <c r="C118" s="2">
        <v>8579.8249582148419</v>
      </c>
    </row>
    <row r="119" spans="1:3" x14ac:dyDescent="0.35">
      <c r="A119" s="2">
        <v>97</v>
      </c>
      <c r="B119" s="2">
        <v>58243.239076168349</v>
      </c>
      <c r="C119" s="2">
        <v>4559.7609238316509</v>
      </c>
    </row>
    <row r="120" spans="1:3" x14ac:dyDescent="0.35">
      <c r="A120" s="2">
        <v>98</v>
      </c>
      <c r="B120" s="2">
        <v>58243.239076168349</v>
      </c>
      <c r="C120" s="2">
        <v>-28243.239076168349</v>
      </c>
    </row>
    <row r="121" spans="1:3" x14ac:dyDescent="0.35">
      <c r="A121" s="2">
        <v>99</v>
      </c>
      <c r="B121" s="2">
        <v>58243.239076168349</v>
      </c>
      <c r="C121" s="2">
        <v>-12905.239076168349</v>
      </c>
    </row>
    <row r="122" spans="1:3" x14ac:dyDescent="0.35">
      <c r="A122" s="2">
        <v>100</v>
      </c>
      <c r="B122" s="2">
        <v>59766.707058976754</v>
      </c>
      <c r="C122" s="2">
        <v>17311.292941023246</v>
      </c>
    </row>
    <row r="123" spans="1:3" x14ac:dyDescent="0.35">
      <c r="A123" s="2">
        <v>101</v>
      </c>
      <c r="B123" s="2">
        <v>61290.175041785158</v>
      </c>
      <c r="C123" s="2">
        <v>-15094.175041785158</v>
      </c>
    </row>
    <row r="124" spans="1:3" x14ac:dyDescent="0.35">
      <c r="A124" s="2">
        <v>102</v>
      </c>
      <c r="B124" s="2">
        <v>62813.643024593563</v>
      </c>
      <c r="C124" s="2">
        <v>-1398.6430245935626</v>
      </c>
    </row>
    <row r="125" spans="1:3" x14ac:dyDescent="0.35">
      <c r="A125" s="2">
        <v>103</v>
      </c>
      <c r="B125" s="2">
        <v>58243.239076168349</v>
      </c>
      <c r="C125" s="2">
        <v>-17826.239076168349</v>
      </c>
    </row>
    <row r="126" spans="1:3" x14ac:dyDescent="0.35">
      <c r="A126" s="2">
        <v>104</v>
      </c>
      <c r="B126" s="2">
        <v>59766.707058976754</v>
      </c>
      <c r="C126" s="2">
        <v>-26827.707058976754</v>
      </c>
    </row>
    <row r="127" spans="1:3" x14ac:dyDescent="0.35">
      <c r="A127" s="2">
        <v>105</v>
      </c>
      <c r="B127" s="2">
        <v>59766.707058976754</v>
      </c>
      <c r="C127" s="2">
        <v>32449.292941023246</v>
      </c>
    </row>
    <row r="128" spans="1:3" x14ac:dyDescent="0.35">
      <c r="A128" s="2">
        <v>106</v>
      </c>
      <c r="B128" s="2">
        <v>59766.707058976754</v>
      </c>
      <c r="C128" s="2">
        <v>-29766.707058976754</v>
      </c>
    </row>
    <row r="129" spans="1:3" x14ac:dyDescent="0.35">
      <c r="A129" s="2">
        <v>107</v>
      </c>
      <c r="B129" s="2">
        <v>62813.643024593563</v>
      </c>
      <c r="C129" s="2">
        <v>-29880.643024593563</v>
      </c>
    </row>
    <row r="130" spans="1:3" x14ac:dyDescent="0.35">
      <c r="A130" s="2">
        <v>108</v>
      </c>
      <c r="B130" s="2">
        <v>56719.771093359937</v>
      </c>
      <c r="C130" s="2">
        <v>-6816.7710933599374</v>
      </c>
    </row>
    <row r="131" spans="1:3" x14ac:dyDescent="0.35">
      <c r="A131" s="2">
        <v>109</v>
      </c>
      <c r="B131" s="2">
        <v>56719.771093359937</v>
      </c>
      <c r="C131" s="2">
        <v>-6240.7710933599374</v>
      </c>
    </row>
    <row r="132" spans="1:3" x14ac:dyDescent="0.35">
      <c r="A132" s="2">
        <v>110</v>
      </c>
      <c r="B132" s="2">
        <v>58243.239076168349</v>
      </c>
      <c r="C132" s="2">
        <v>-28243.239076168349</v>
      </c>
    </row>
    <row r="133" spans="1:3" x14ac:dyDescent="0.35">
      <c r="A133" s="2">
        <v>111</v>
      </c>
      <c r="B133" s="2">
        <v>59766.707058976754</v>
      </c>
      <c r="C133" s="2">
        <v>-28546.707058976754</v>
      </c>
    </row>
    <row r="134" spans="1:3" x14ac:dyDescent="0.35">
      <c r="A134" s="2">
        <v>112</v>
      </c>
      <c r="B134" s="2">
        <v>58243.239076168349</v>
      </c>
      <c r="C134" s="2">
        <v>29173.760923831651</v>
      </c>
    </row>
    <row r="135" spans="1:3" x14ac:dyDescent="0.35">
      <c r="A135" s="2">
        <v>113</v>
      </c>
      <c r="B135" s="2">
        <v>58243.239076168349</v>
      </c>
      <c r="C135" s="2">
        <v>55944.760923831651</v>
      </c>
    </row>
    <row r="136" spans="1:3" x14ac:dyDescent="0.35">
      <c r="A136" s="2">
        <v>114</v>
      </c>
      <c r="B136" s="2">
        <v>59766.707058976754</v>
      </c>
      <c r="C136" s="2">
        <v>-11698.707058976754</v>
      </c>
    </row>
    <row r="137" spans="1:3" x14ac:dyDescent="0.35">
      <c r="A137" s="2">
        <v>115</v>
      </c>
      <c r="B137" s="2">
        <v>59766.707058976754</v>
      </c>
      <c r="C137" s="2">
        <v>-29766.707058976754</v>
      </c>
    </row>
    <row r="138" spans="1:3" x14ac:dyDescent="0.35">
      <c r="A138" s="2">
        <v>116</v>
      </c>
      <c r="B138" s="2">
        <v>59766.707058976754</v>
      </c>
      <c r="C138" s="2">
        <v>-29766.707058976754</v>
      </c>
    </row>
    <row r="139" spans="1:3" x14ac:dyDescent="0.35">
      <c r="A139" s="2">
        <v>117</v>
      </c>
      <c r="B139" s="2">
        <v>59766.707058976754</v>
      </c>
      <c r="C139" s="2">
        <v>38471.292941023246</v>
      </c>
    </row>
    <row r="140" spans="1:3" x14ac:dyDescent="0.35">
      <c r="A140" s="2">
        <v>118</v>
      </c>
      <c r="B140" s="2">
        <v>56719.771093359937</v>
      </c>
      <c r="C140" s="2">
        <v>43783.228906640063</v>
      </c>
    </row>
    <row r="141" spans="1:3" x14ac:dyDescent="0.35">
      <c r="A141" s="2">
        <v>119</v>
      </c>
      <c r="B141" s="2">
        <v>62813.643024593563</v>
      </c>
      <c r="C141" s="2">
        <v>-28617.643024593563</v>
      </c>
    </row>
    <row r="142" spans="1:3" x14ac:dyDescent="0.35">
      <c r="A142" s="2">
        <v>120</v>
      </c>
      <c r="B142" s="2">
        <v>61290.175041785158</v>
      </c>
      <c r="C142" s="2">
        <v>-30281.175041785158</v>
      </c>
    </row>
    <row r="143" spans="1:3" x14ac:dyDescent="0.35">
      <c r="A143" s="2">
        <v>121</v>
      </c>
      <c r="B143" s="2">
        <v>61290.175041785158</v>
      </c>
      <c r="C143" s="2">
        <v>-25013.175041785158</v>
      </c>
    </row>
    <row r="144" spans="1:3" x14ac:dyDescent="0.35">
      <c r="A144" s="2">
        <v>122</v>
      </c>
      <c r="B144" s="2">
        <v>61290.175041785158</v>
      </c>
      <c r="C144" s="2">
        <v>-3336.1750417851581</v>
      </c>
    </row>
    <row r="145" spans="1:3" x14ac:dyDescent="0.35">
      <c r="A145" s="2">
        <v>123</v>
      </c>
      <c r="B145" s="2">
        <v>59766.707058976754</v>
      </c>
      <c r="C145" s="2">
        <v>-17815.707058976754</v>
      </c>
    </row>
    <row r="146" spans="1:3" x14ac:dyDescent="0.35">
      <c r="A146" s="2">
        <v>124</v>
      </c>
      <c r="B146" s="2">
        <v>59766.707058976754</v>
      </c>
      <c r="C146" s="2">
        <v>-6561.7070589767536</v>
      </c>
    </row>
    <row r="147" spans="1:3" x14ac:dyDescent="0.35">
      <c r="A147" s="2">
        <v>125</v>
      </c>
      <c r="B147" s="2">
        <v>59766.707058976754</v>
      </c>
      <c r="C147" s="2">
        <v>-29766.707058976754</v>
      </c>
    </row>
    <row r="148" spans="1:3" x14ac:dyDescent="0.35">
      <c r="A148" s="2">
        <v>126</v>
      </c>
      <c r="B148" s="2">
        <v>61290.175041785158</v>
      </c>
      <c r="C148" s="2">
        <v>-31290.175041785158</v>
      </c>
    </row>
    <row r="149" spans="1:3" x14ac:dyDescent="0.35">
      <c r="A149" s="2">
        <v>127</v>
      </c>
      <c r="B149" s="2">
        <v>59766.707058976754</v>
      </c>
      <c r="C149" s="2">
        <v>-13941.707058976754</v>
      </c>
    </row>
    <row r="150" spans="1:3" x14ac:dyDescent="0.35">
      <c r="A150" s="2">
        <v>128</v>
      </c>
      <c r="B150" s="2">
        <v>59766.707058976754</v>
      </c>
      <c r="C150" s="2">
        <v>15972.292941023246</v>
      </c>
    </row>
    <row r="151" spans="1:3" x14ac:dyDescent="0.35">
      <c r="A151" s="2">
        <v>129</v>
      </c>
      <c r="B151" s="2">
        <v>61290.175041785158</v>
      </c>
      <c r="C151" s="2">
        <v>23027.824958214842</v>
      </c>
    </row>
    <row r="152" spans="1:3" x14ac:dyDescent="0.35">
      <c r="A152" s="2">
        <v>130</v>
      </c>
      <c r="B152" s="2">
        <v>58243.239076168349</v>
      </c>
      <c r="C152" s="2">
        <v>-27687.239076168349</v>
      </c>
    </row>
    <row r="153" spans="1:3" x14ac:dyDescent="0.35">
      <c r="A153" s="2">
        <v>131</v>
      </c>
      <c r="B153" s="2">
        <v>59766.707058976754</v>
      </c>
      <c r="C153" s="2">
        <v>-1743.7070589767536</v>
      </c>
    </row>
    <row r="154" spans="1:3" x14ac:dyDescent="0.35">
      <c r="A154" s="2">
        <v>132</v>
      </c>
      <c r="B154" s="2">
        <v>59766.707058976754</v>
      </c>
      <c r="C154" s="2">
        <v>-29766.707058976754</v>
      </c>
    </row>
    <row r="155" spans="1:3" x14ac:dyDescent="0.35">
      <c r="A155" s="2">
        <v>133</v>
      </c>
      <c r="B155" s="2">
        <v>61290.175041785158</v>
      </c>
      <c r="C155" s="2">
        <v>34107.824958214842</v>
      </c>
    </row>
    <row r="156" spans="1:3" x14ac:dyDescent="0.35">
      <c r="A156" s="2">
        <v>134</v>
      </c>
      <c r="B156" s="2">
        <v>58243.239076168349</v>
      </c>
      <c r="C156" s="2">
        <v>45289.760923831651</v>
      </c>
    </row>
    <row r="157" spans="1:3" x14ac:dyDescent="0.35">
      <c r="A157" s="2">
        <v>135</v>
      </c>
      <c r="B157" s="2">
        <v>58243.239076168349</v>
      </c>
      <c r="C157" s="2">
        <v>-28243.239076168349</v>
      </c>
    </row>
    <row r="158" spans="1:3" x14ac:dyDescent="0.35">
      <c r="A158" s="2">
        <v>136</v>
      </c>
      <c r="B158" s="2">
        <v>58243.239076168349</v>
      </c>
      <c r="C158" s="2">
        <v>-6060.2390761683491</v>
      </c>
    </row>
    <row r="159" spans="1:3" x14ac:dyDescent="0.35">
      <c r="A159" s="2">
        <v>137</v>
      </c>
      <c r="B159" s="2">
        <v>58243.239076168349</v>
      </c>
      <c r="C159" s="2">
        <v>36655.760923831651</v>
      </c>
    </row>
    <row r="160" spans="1:3" x14ac:dyDescent="0.35">
      <c r="A160" s="2">
        <v>138</v>
      </c>
      <c r="B160" s="2">
        <v>61290.175041785158</v>
      </c>
      <c r="C160" s="2">
        <v>10282.824958214842</v>
      </c>
    </row>
    <row r="161" spans="1:3" x14ac:dyDescent="0.35">
      <c r="A161" s="2">
        <v>139</v>
      </c>
      <c r="B161" s="2">
        <v>61290.175041785158</v>
      </c>
      <c r="C161" s="2">
        <v>6443.8249582148419</v>
      </c>
    </row>
    <row r="162" spans="1:3" x14ac:dyDescent="0.35">
      <c r="A162" s="2">
        <v>140</v>
      </c>
      <c r="B162" s="2">
        <v>58243.239076168349</v>
      </c>
      <c r="C162" s="2">
        <v>-9072.2390761683491</v>
      </c>
    </row>
    <row r="163" spans="1:3" x14ac:dyDescent="0.35">
      <c r="A163" s="2">
        <v>141</v>
      </c>
      <c r="B163" s="2">
        <v>59766.707058976754</v>
      </c>
      <c r="C163" s="2">
        <v>20656.292941023246</v>
      </c>
    </row>
    <row r="164" spans="1:3" x14ac:dyDescent="0.35">
      <c r="A164" s="2">
        <v>142</v>
      </c>
      <c r="B164" s="2">
        <v>61290.175041785158</v>
      </c>
      <c r="C164" s="2">
        <v>480.8249582148419</v>
      </c>
    </row>
    <row r="165" spans="1:3" x14ac:dyDescent="0.35">
      <c r="A165" s="2">
        <v>143</v>
      </c>
      <c r="B165" s="2">
        <v>59766.707058976754</v>
      </c>
      <c r="C165" s="2">
        <v>-321.70705897675361</v>
      </c>
    </row>
    <row r="166" spans="1:3" x14ac:dyDescent="0.35">
      <c r="A166" s="2">
        <v>144</v>
      </c>
      <c r="B166" s="2">
        <v>59766.707058976754</v>
      </c>
      <c r="C166" s="2">
        <v>6958.2929410232464</v>
      </c>
    </row>
    <row r="167" spans="1:3" x14ac:dyDescent="0.35">
      <c r="A167" s="2">
        <v>145</v>
      </c>
      <c r="B167" s="2">
        <v>58243.239076168349</v>
      </c>
      <c r="C167" s="2">
        <v>17340.760923831651</v>
      </c>
    </row>
    <row r="168" spans="1:3" x14ac:dyDescent="0.35">
      <c r="A168" s="2">
        <v>146</v>
      </c>
      <c r="B168" s="2">
        <v>59766.707058976754</v>
      </c>
      <c r="C168" s="2">
        <v>-9795.7070589767536</v>
      </c>
    </row>
    <row r="169" spans="1:3" x14ac:dyDescent="0.35">
      <c r="A169" s="2">
        <v>147</v>
      </c>
      <c r="B169" s="2">
        <v>58243.239076168349</v>
      </c>
      <c r="C169" s="2">
        <v>-10241.239076168349</v>
      </c>
    </row>
    <row r="170" spans="1:3" x14ac:dyDescent="0.35">
      <c r="A170" s="2">
        <v>148</v>
      </c>
      <c r="B170" s="2">
        <v>59766.707058976754</v>
      </c>
      <c r="C170" s="2">
        <v>9056.2929410232464</v>
      </c>
    </row>
    <row r="171" spans="1:3" x14ac:dyDescent="0.35">
      <c r="A171" s="2">
        <v>149</v>
      </c>
      <c r="B171" s="2">
        <v>56719.771093359937</v>
      </c>
      <c r="C171" s="2">
        <v>-17525.771093359937</v>
      </c>
    </row>
    <row r="172" spans="1:3" x14ac:dyDescent="0.35">
      <c r="A172" s="2">
        <v>150</v>
      </c>
      <c r="B172" s="2">
        <v>62813.643024593563</v>
      </c>
      <c r="C172" s="2">
        <v>-12662.643024593563</v>
      </c>
    </row>
    <row r="173" spans="1:3" x14ac:dyDescent="0.35">
      <c r="A173" s="2">
        <v>151</v>
      </c>
      <c r="B173" s="2">
        <v>59766.707058976754</v>
      </c>
      <c r="C173" s="2">
        <v>37123.292941023246</v>
      </c>
    </row>
    <row r="174" spans="1:3" x14ac:dyDescent="0.35">
      <c r="A174" s="2">
        <v>152</v>
      </c>
      <c r="B174" s="2">
        <v>58243.239076168349</v>
      </c>
      <c r="C174" s="2">
        <v>90868.760923831651</v>
      </c>
    </row>
    <row r="175" spans="1:3" x14ac:dyDescent="0.35">
      <c r="A175" s="2">
        <v>153</v>
      </c>
      <c r="B175" s="2">
        <v>58243.239076168349</v>
      </c>
      <c r="C175" s="2">
        <v>-12484.239076168349</v>
      </c>
    </row>
    <row r="176" spans="1:3" x14ac:dyDescent="0.35">
      <c r="A176" s="2">
        <v>154</v>
      </c>
      <c r="B176" s="2">
        <v>58243.239076168349</v>
      </c>
      <c r="C176" s="2">
        <v>-28243.239076168349</v>
      </c>
    </row>
    <row r="177" spans="1:3" x14ac:dyDescent="0.35">
      <c r="A177" s="2">
        <v>155</v>
      </c>
      <c r="B177" s="2">
        <v>62813.643024593563</v>
      </c>
      <c r="C177" s="2">
        <v>-21390.643024593563</v>
      </c>
    </row>
    <row r="178" spans="1:3" x14ac:dyDescent="0.35">
      <c r="A178" s="2">
        <v>156</v>
      </c>
      <c r="B178" s="2">
        <v>61290.175041785158</v>
      </c>
      <c r="C178" s="2">
        <v>24490.824958214842</v>
      </c>
    </row>
    <row r="179" spans="1:3" x14ac:dyDescent="0.35">
      <c r="A179" s="2">
        <v>157</v>
      </c>
      <c r="B179" s="2">
        <v>61290.175041785158</v>
      </c>
      <c r="C179" s="2">
        <v>-12629.175041785158</v>
      </c>
    </row>
    <row r="180" spans="1:3" x14ac:dyDescent="0.35">
      <c r="A180" s="2">
        <v>158</v>
      </c>
      <c r="B180" s="2">
        <v>59766.707058976754</v>
      </c>
      <c r="C180" s="2">
        <v>92244.292941023246</v>
      </c>
    </row>
    <row r="181" spans="1:3" x14ac:dyDescent="0.35">
      <c r="A181" s="2">
        <v>159</v>
      </c>
      <c r="B181" s="2">
        <v>59766.707058976754</v>
      </c>
      <c r="C181" s="2">
        <v>20099.292941023246</v>
      </c>
    </row>
    <row r="182" spans="1:3" x14ac:dyDescent="0.35">
      <c r="A182" s="2">
        <v>160</v>
      </c>
      <c r="B182" s="2">
        <v>61290.175041785158</v>
      </c>
      <c r="C182" s="2">
        <v>-31290.175041785158</v>
      </c>
    </row>
    <row r="183" spans="1:3" x14ac:dyDescent="0.35">
      <c r="A183" s="2">
        <v>161</v>
      </c>
      <c r="B183" s="2">
        <v>61290.175041785158</v>
      </c>
      <c r="C183" s="2">
        <v>-28335.175041785158</v>
      </c>
    </row>
    <row r="184" spans="1:3" x14ac:dyDescent="0.35">
      <c r="A184" s="2">
        <v>162</v>
      </c>
      <c r="B184" s="2">
        <v>61290.175041785158</v>
      </c>
      <c r="C184" s="2">
        <v>10796.824958214842</v>
      </c>
    </row>
    <row r="185" spans="1:3" x14ac:dyDescent="0.35">
      <c r="A185" s="2">
        <v>163</v>
      </c>
      <c r="B185" s="2">
        <v>56719.771093359937</v>
      </c>
      <c r="C185" s="2">
        <v>1383.2289066400626</v>
      </c>
    </row>
    <row r="186" spans="1:3" x14ac:dyDescent="0.35">
      <c r="A186" s="2">
        <v>164</v>
      </c>
      <c r="B186" s="2">
        <v>61290.175041785158</v>
      </c>
      <c r="C186" s="2">
        <v>-531.1750417851581</v>
      </c>
    </row>
    <row r="187" spans="1:3" x14ac:dyDescent="0.35">
      <c r="A187" s="2">
        <v>165</v>
      </c>
      <c r="B187" s="2">
        <v>61290.175041785158</v>
      </c>
      <c r="C187" s="2">
        <v>433375.82495821483</v>
      </c>
    </row>
    <row r="188" spans="1:3" x14ac:dyDescent="0.35">
      <c r="A188" s="2">
        <v>166</v>
      </c>
      <c r="B188" s="2">
        <v>61290.175041785158</v>
      </c>
      <c r="C188" s="2">
        <v>-12838.175041785158</v>
      </c>
    </row>
    <row r="189" spans="1:3" x14ac:dyDescent="0.35">
      <c r="A189" s="2">
        <v>167</v>
      </c>
      <c r="B189" s="2">
        <v>61290.175041785158</v>
      </c>
      <c r="C189" s="2">
        <v>28558.824958214842</v>
      </c>
    </row>
    <row r="190" spans="1:3" x14ac:dyDescent="0.35">
      <c r="A190" s="2">
        <v>168</v>
      </c>
      <c r="B190" s="2">
        <v>61290.175041785158</v>
      </c>
      <c r="C190" s="2">
        <v>-31290.175041785158</v>
      </c>
    </row>
    <row r="191" spans="1:3" x14ac:dyDescent="0.35">
      <c r="A191" s="2">
        <v>169</v>
      </c>
      <c r="B191" s="2">
        <v>59766.707058976754</v>
      </c>
      <c r="C191" s="2">
        <v>-7725.7070589767536</v>
      </c>
    </row>
    <row r="192" spans="1:3" x14ac:dyDescent="0.35">
      <c r="A192" s="2">
        <v>170</v>
      </c>
      <c r="B192" s="2">
        <v>58243.239076168349</v>
      </c>
      <c r="C192" s="2">
        <v>-14977.239076168349</v>
      </c>
    </row>
    <row r="193" spans="1:3" x14ac:dyDescent="0.35">
      <c r="A193" s="2">
        <v>171</v>
      </c>
      <c r="B193" s="2">
        <v>61290.175041785158</v>
      </c>
      <c r="C193" s="2">
        <v>-1491.1750417851581</v>
      </c>
    </row>
    <row r="194" spans="1:3" x14ac:dyDescent="0.35">
      <c r="A194" s="2">
        <v>172</v>
      </c>
      <c r="B194" s="2">
        <v>61290.175041785158</v>
      </c>
      <c r="C194" s="2">
        <v>-30365.175041785158</v>
      </c>
    </row>
    <row r="195" spans="1:3" x14ac:dyDescent="0.35">
      <c r="A195" s="2">
        <v>173</v>
      </c>
      <c r="B195" s="2">
        <v>62813.643024593563</v>
      </c>
      <c r="C195" s="2">
        <v>-29660.643024593563</v>
      </c>
    </row>
    <row r="196" spans="1:3" x14ac:dyDescent="0.35">
      <c r="A196" s="2">
        <v>174</v>
      </c>
      <c r="B196" s="2">
        <v>58243.239076168349</v>
      </c>
      <c r="C196" s="2">
        <v>37590.760923831651</v>
      </c>
    </row>
    <row r="197" spans="1:3" x14ac:dyDescent="0.35">
      <c r="A197" s="2">
        <v>175</v>
      </c>
      <c r="B197" s="2">
        <v>56719.771093359937</v>
      </c>
      <c r="C197" s="2">
        <v>-19640.771093359937</v>
      </c>
    </row>
    <row r="198" spans="1:3" x14ac:dyDescent="0.35">
      <c r="A198" s="2">
        <v>176</v>
      </c>
      <c r="B198" s="2">
        <v>61290.175041785158</v>
      </c>
      <c r="C198" s="2">
        <v>-6283.1750417851581</v>
      </c>
    </row>
    <row r="199" spans="1:3" x14ac:dyDescent="0.35">
      <c r="A199" s="2">
        <v>177</v>
      </c>
      <c r="B199" s="2">
        <v>59766.707058976754</v>
      </c>
      <c r="C199" s="2">
        <v>-28139.707058976754</v>
      </c>
    </row>
    <row r="200" spans="1:3" x14ac:dyDescent="0.35">
      <c r="A200" s="2">
        <v>178</v>
      </c>
      <c r="B200" s="2">
        <v>58243.239076168349</v>
      </c>
      <c r="C200" s="2">
        <v>-9779.2390761683491</v>
      </c>
    </row>
    <row r="201" spans="1:3" x14ac:dyDescent="0.35">
      <c r="A201" s="2">
        <v>179</v>
      </c>
      <c r="B201" s="2">
        <v>58243.239076168349</v>
      </c>
      <c r="C201" s="2">
        <v>55496.760923831651</v>
      </c>
    </row>
    <row r="202" spans="1:3" x14ac:dyDescent="0.35">
      <c r="A202" s="2">
        <v>180</v>
      </c>
      <c r="B202" s="2">
        <v>58243.239076168349</v>
      </c>
      <c r="C202" s="2">
        <v>28601.760923831651</v>
      </c>
    </row>
    <row r="203" spans="1:3" x14ac:dyDescent="0.35">
      <c r="A203" s="2">
        <v>181</v>
      </c>
      <c r="B203" s="2">
        <v>61290.175041785158</v>
      </c>
      <c r="C203" s="2">
        <v>-15622.175041785158</v>
      </c>
    </row>
    <row r="204" spans="1:3" x14ac:dyDescent="0.35">
      <c r="A204" s="2">
        <v>182</v>
      </c>
      <c r="B204" s="2">
        <v>61290.175041785158</v>
      </c>
      <c r="C204" s="2">
        <v>7125.8249582148419</v>
      </c>
    </row>
    <row r="205" spans="1:3" x14ac:dyDescent="0.35">
      <c r="A205" s="2">
        <v>183</v>
      </c>
      <c r="B205" s="2">
        <v>59766.707058976754</v>
      </c>
      <c r="C205" s="2">
        <v>20909.292941023246</v>
      </c>
    </row>
    <row r="206" spans="1:3" x14ac:dyDescent="0.35">
      <c r="A206" s="2">
        <v>184</v>
      </c>
      <c r="B206" s="2">
        <v>59766.707058976754</v>
      </c>
      <c r="C206" s="2">
        <v>-29766.707058976754</v>
      </c>
    </row>
    <row r="207" spans="1:3" x14ac:dyDescent="0.35">
      <c r="A207" s="2">
        <v>185</v>
      </c>
      <c r="B207" s="2">
        <v>59766.707058976754</v>
      </c>
      <c r="C207" s="2">
        <v>7317.2929410232464</v>
      </c>
    </row>
    <row r="208" spans="1:3" x14ac:dyDescent="0.35">
      <c r="A208" s="2">
        <v>186</v>
      </c>
      <c r="B208" s="2">
        <v>59766.707058976754</v>
      </c>
      <c r="C208" s="2">
        <v>-20719.707058976754</v>
      </c>
    </row>
    <row r="209" spans="1:3" x14ac:dyDescent="0.35">
      <c r="A209" s="2">
        <v>187</v>
      </c>
      <c r="B209" s="2">
        <v>61290.175041785158</v>
      </c>
      <c r="C209" s="2">
        <v>1741.8249582148419</v>
      </c>
    </row>
    <row r="210" spans="1:3" x14ac:dyDescent="0.35">
      <c r="A210" s="2">
        <v>188</v>
      </c>
      <c r="B210" s="2">
        <v>61290.175041785158</v>
      </c>
      <c r="C210" s="2">
        <v>38175.824958214842</v>
      </c>
    </row>
    <row r="211" spans="1:3" x14ac:dyDescent="0.35">
      <c r="A211" s="2">
        <v>189</v>
      </c>
      <c r="B211" s="2">
        <v>59766.707058976754</v>
      </c>
      <c r="C211" s="2">
        <v>69463.292941023246</v>
      </c>
    </row>
    <row r="212" spans="1:3" x14ac:dyDescent="0.35">
      <c r="A212" s="2">
        <v>190</v>
      </c>
      <c r="B212" s="2">
        <v>61290.175041785158</v>
      </c>
      <c r="C212" s="2">
        <v>168291.82495821483</v>
      </c>
    </row>
    <row r="213" spans="1:3" x14ac:dyDescent="0.35">
      <c r="A213" s="2">
        <v>191</v>
      </c>
      <c r="B213" s="2">
        <v>58243.239076168349</v>
      </c>
      <c r="C213" s="2">
        <v>-12786.239076168349</v>
      </c>
    </row>
    <row r="214" spans="1:3" x14ac:dyDescent="0.35">
      <c r="A214" s="2">
        <v>192</v>
      </c>
      <c r="B214" s="2">
        <v>62813.643024593563</v>
      </c>
      <c r="C214" s="2">
        <v>-3850.6430245935626</v>
      </c>
    </row>
    <row r="215" spans="1:3" x14ac:dyDescent="0.35">
      <c r="A215" s="2">
        <v>193</v>
      </c>
      <c r="B215" s="2">
        <v>58243.239076168349</v>
      </c>
      <c r="C215" s="2">
        <v>-2392.2390761683491</v>
      </c>
    </row>
    <row r="216" spans="1:3" x14ac:dyDescent="0.35">
      <c r="A216" s="2">
        <v>194</v>
      </c>
      <c r="B216" s="2">
        <v>59766.707058976754</v>
      </c>
      <c r="C216" s="2">
        <v>-24969.707058976754</v>
      </c>
    </row>
    <row r="217" spans="1:3" x14ac:dyDescent="0.35">
      <c r="A217" s="2">
        <v>195</v>
      </c>
      <c r="B217" s="2">
        <v>61290.175041785158</v>
      </c>
      <c r="C217" s="2">
        <v>-29165.175041785158</v>
      </c>
    </row>
    <row r="218" spans="1:3" x14ac:dyDescent="0.35">
      <c r="A218" s="2">
        <v>196</v>
      </c>
      <c r="B218" s="2">
        <v>59766.707058976754</v>
      </c>
      <c r="C218" s="2">
        <v>580.29294102324639</v>
      </c>
    </row>
    <row r="219" spans="1:3" x14ac:dyDescent="0.35">
      <c r="A219" s="2">
        <v>197</v>
      </c>
      <c r="B219" s="2">
        <v>58243.239076168349</v>
      </c>
      <c r="C219" s="2">
        <v>-28243.239076168349</v>
      </c>
    </row>
    <row r="220" spans="1:3" x14ac:dyDescent="0.35">
      <c r="A220" s="2">
        <v>198</v>
      </c>
      <c r="B220" s="2">
        <v>61290.175041785158</v>
      </c>
      <c r="C220" s="2">
        <v>52215.824958214842</v>
      </c>
    </row>
    <row r="221" spans="1:3" x14ac:dyDescent="0.35">
      <c r="A221" s="2">
        <v>199</v>
      </c>
      <c r="B221" s="2">
        <v>56719.771093359937</v>
      </c>
      <c r="C221" s="2">
        <v>-1743.7710933599374</v>
      </c>
    </row>
    <row r="222" spans="1:3" x14ac:dyDescent="0.35">
      <c r="A222" s="2">
        <v>200</v>
      </c>
      <c r="B222" s="2">
        <v>59766.707058976754</v>
      </c>
      <c r="C222" s="2">
        <v>12579.292941023246</v>
      </c>
    </row>
    <row r="223" spans="1:3" x14ac:dyDescent="0.35">
      <c r="A223" s="2">
        <v>201</v>
      </c>
      <c r="B223" s="2">
        <v>58243.239076168349</v>
      </c>
      <c r="C223" s="2">
        <v>-16279.239076168349</v>
      </c>
    </row>
    <row r="224" spans="1:3" x14ac:dyDescent="0.35">
      <c r="A224" s="2">
        <v>202</v>
      </c>
      <c r="B224" s="2">
        <v>56719.771093359937</v>
      </c>
      <c r="C224" s="2">
        <v>-20622.771093359937</v>
      </c>
    </row>
    <row r="225" spans="1:3" x14ac:dyDescent="0.35">
      <c r="A225" s="2">
        <v>203</v>
      </c>
      <c r="B225" s="2">
        <v>59766.707058976754</v>
      </c>
      <c r="C225" s="2">
        <v>23831.292941023246</v>
      </c>
    </row>
    <row r="226" spans="1:3" x14ac:dyDescent="0.35">
      <c r="A226" s="2">
        <v>204</v>
      </c>
      <c r="B226" s="2">
        <v>62813.643024593563</v>
      </c>
      <c r="C226" s="2">
        <v>-32813.643024593563</v>
      </c>
    </row>
    <row r="227" spans="1:3" x14ac:dyDescent="0.35">
      <c r="A227" s="2">
        <v>205</v>
      </c>
      <c r="B227" s="2">
        <v>58243.239076168349</v>
      </c>
      <c r="C227" s="2">
        <v>80665.760923831651</v>
      </c>
    </row>
    <row r="228" spans="1:3" x14ac:dyDescent="0.35">
      <c r="A228" s="2">
        <v>206</v>
      </c>
      <c r="B228" s="2">
        <v>61290.175041785158</v>
      </c>
      <c r="C228" s="2">
        <v>90341.824958214842</v>
      </c>
    </row>
    <row r="229" spans="1:3" x14ac:dyDescent="0.35">
      <c r="A229" s="2">
        <v>207</v>
      </c>
      <c r="B229" s="2">
        <v>61290.175041785158</v>
      </c>
      <c r="C229" s="2">
        <v>-31290.175041785158</v>
      </c>
    </row>
    <row r="230" spans="1:3" x14ac:dyDescent="0.35">
      <c r="A230" s="2">
        <v>208</v>
      </c>
      <c r="B230" s="2">
        <v>58243.239076168349</v>
      </c>
      <c r="C230" s="2">
        <v>-28243.239076168349</v>
      </c>
    </row>
    <row r="231" spans="1:3" x14ac:dyDescent="0.35">
      <c r="A231" s="2">
        <v>209</v>
      </c>
      <c r="B231" s="2">
        <v>59766.707058976754</v>
      </c>
      <c r="C231" s="2">
        <v>20433.292941023246</v>
      </c>
    </row>
    <row r="232" spans="1:3" x14ac:dyDescent="0.35">
      <c r="A232" s="2">
        <v>210</v>
      </c>
      <c r="B232" s="2">
        <v>61290.175041785158</v>
      </c>
      <c r="C232" s="2">
        <v>183.8249582148419</v>
      </c>
    </row>
    <row r="233" spans="1:3" x14ac:dyDescent="0.35">
      <c r="A233" s="2">
        <v>211</v>
      </c>
      <c r="B233" s="2">
        <v>56719.771093359937</v>
      </c>
      <c r="C233" s="2">
        <v>-26719.771093359937</v>
      </c>
    </row>
    <row r="234" spans="1:3" x14ac:dyDescent="0.35">
      <c r="A234" s="2">
        <v>212</v>
      </c>
      <c r="B234" s="2">
        <v>56719.771093359937</v>
      </c>
      <c r="C234" s="2">
        <v>-8818.7710933599374</v>
      </c>
    </row>
    <row r="235" spans="1:3" x14ac:dyDescent="0.35">
      <c r="A235" s="2">
        <v>213</v>
      </c>
      <c r="B235" s="2">
        <v>59766.707058976754</v>
      </c>
      <c r="C235" s="2">
        <v>-1893.7070589767536</v>
      </c>
    </row>
    <row r="236" spans="1:3" x14ac:dyDescent="0.35">
      <c r="A236" s="2">
        <v>214</v>
      </c>
      <c r="B236" s="2">
        <v>59766.707058976754</v>
      </c>
      <c r="C236" s="2">
        <v>-2606.7070589767536</v>
      </c>
    </row>
    <row r="237" spans="1:3" x14ac:dyDescent="0.35">
      <c r="A237" s="2">
        <v>215</v>
      </c>
      <c r="B237" s="2">
        <v>59766.707058976754</v>
      </c>
      <c r="C237" s="2">
        <v>-27074.707058976754</v>
      </c>
    </row>
    <row r="238" spans="1:3" x14ac:dyDescent="0.35">
      <c r="A238" s="2">
        <v>216</v>
      </c>
      <c r="B238" s="2">
        <v>58243.239076168349</v>
      </c>
      <c r="C238" s="2">
        <v>-28243.239076168349</v>
      </c>
    </row>
    <row r="239" spans="1:3" x14ac:dyDescent="0.35">
      <c r="A239" s="2">
        <v>217</v>
      </c>
      <c r="B239" s="2">
        <v>61290.175041785158</v>
      </c>
      <c r="C239" s="2">
        <v>-31290.175041785158</v>
      </c>
    </row>
    <row r="240" spans="1:3" x14ac:dyDescent="0.35">
      <c r="A240" s="2">
        <v>218</v>
      </c>
      <c r="B240" s="2">
        <v>59766.707058976754</v>
      </c>
      <c r="C240" s="2">
        <v>-18882.707058976754</v>
      </c>
    </row>
    <row r="241" spans="1:3" x14ac:dyDescent="0.35">
      <c r="A241" s="2">
        <v>219</v>
      </c>
      <c r="B241" s="2">
        <v>61290.175041785158</v>
      </c>
      <c r="C241" s="2">
        <v>-31290.175041785158</v>
      </c>
    </row>
    <row r="242" spans="1:3" x14ac:dyDescent="0.35">
      <c r="A242" s="2">
        <v>220</v>
      </c>
      <c r="B242" s="2">
        <v>56719.771093359937</v>
      </c>
      <c r="C242" s="2">
        <v>11347.228906640063</v>
      </c>
    </row>
    <row r="243" spans="1:3" x14ac:dyDescent="0.35">
      <c r="A243" s="2">
        <v>221</v>
      </c>
      <c r="B243" s="2">
        <v>61290.175041785158</v>
      </c>
      <c r="C243" s="2">
        <v>27940.824958214842</v>
      </c>
    </row>
    <row r="244" spans="1:3" x14ac:dyDescent="0.35">
      <c r="A244" s="2">
        <v>222</v>
      </c>
      <c r="B244" s="2">
        <v>58243.239076168349</v>
      </c>
      <c r="C244" s="2">
        <v>-256.23907616834913</v>
      </c>
    </row>
    <row r="245" spans="1:3" x14ac:dyDescent="0.35">
      <c r="A245" s="2">
        <v>223</v>
      </c>
      <c r="B245" s="2">
        <v>56719.771093359937</v>
      </c>
      <c r="C245" s="2">
        <v>7880.2289066400626</v>
      </c>
    </row>
    <row r="246" spans="1:3" x14ac:dyDescent="0.35">
      <c r="A246" s="2">
        <v>224</v>
      </c>
      <c r="B246" s="2">
        <v>59766.707058976754</v>
      </c>
      <c r="C246" s="2">
        <v>-2174.7070589767536</v>
      </c>
    </row>
    <row r="247" spans="1:3" x14ac:dyDescent="0.35">
      <c r="A247" s="2">
        <v>225</v>
      </c>
      <c r="B247" s="2">
        <v>59766.707058976754</v>
      </c>
      <c r="C247" s="2">
        <v>-29584.707058976754</v>
      </c>
    </row>
    <row r="248" spans="1:3" x14ac:dyDescent="0.35">
      <c r="A248" s="2">
        <v>226</v>
      </c>
      <c r="B248" s="2">
        <v>61290.175041785158</v>
      </c>
      <c r="C248" s="2">
        <v>29329.824958214842</v>
      </c>
    </row>
    <row r="249" spans="1:3" x14ac:dyDescent="0.35">
      <c r="A249" s="2">
        <v>227</v>
      </c>
      <c r="B249" s="2">
        <v>58243.239076168349</v>
      </c>
      <c r="C249" s="2">
        <v>12466.760923831651</v>
      </c>
    </row>
    <row r="250" spans="1:3" x14ac:dyDescent="0.35">
      <c r="A250" s="2">
        <v>228</v>
      </c>
      <c r="B250" s="2">
        <v>58243.239076168349</v>
      </c>
      <c r="C250" s="2">
        <v>-28243.239076168349</v>
      </c>
    </row>
    <row r="251" spans="1:3" x14ac:dyDescent="0.35">
      <c r="A251" s="2">
        <v>229</v>
      </c>
      <c r="B251" s="2">
        <v>59766.707058976754</v>
      </c>
      <c r="C251" s="2">
        <v>-10334.707058976754</v>
      </c>
    </row>
    <row r="252" spans="1:3" x14ac:dyDescent="0.35">
      <c r="A252" s="2">
        <v>230</v>
      </c>
      <c r="B252" s="2">
        <v>61290.175041785158</v>
      </c>
      <c r="C252" s="2">
        <v>10594.824958214842</v>
      </c>
    </row>
    <row r="253" spans="1:3" x14ac:dyDescent="0.35">
      <c r="A253" s="2">
        <v>231</v>
      </c>
      <c r="B253" s="2">
        <v>59766.707058976754</v>
      </c>
      <c r="C253" s="2">
        <v>-5271.7070589767536</v>
      </c>
    </row>
    <row r="254" spans="1:3" x14ac:dyDescent="0.35">
      <c r="A254" s="2">
        <v>232</v>
      </c>
      <c r="B254" s="2">
        <v>61290.175041785158</v>
      </c>
      <c r="C254" s="2">
        <v>-31290.175041785158</v>
      </c>
    </row>
    <row r="255" spans="1:3" x14ac:dyDescent="0.35">
      <c r="A255" s="2">
        <v>233</v>
      </c>
      <c r="B255" s="2">
        <v>59766.707058976754</v>
      </c>
      <c r="C255" s="2">
        <v>9535.2929410232464</v>
      </c>
    </row>
    <row r="256" spans="1:3" x14ac:dyDescent="0.35">
      <c r="A256" s="2">
        <v>234</v>
      </c>
      <c r="B256" s="2">
        <v>56719.771093359937</v>
      </c>
      <c r="C256" s="2">
        <v>-13927.771093359937</v>
      </c>
    </row>
    <row r="257" spans="1:3" x14ac:dyDescent="0.35">
      <c r="A257" s="2">
        <v>235</v>
      </c>
      <c r="B257" s="2">
        <v>59766.707058976754</v>
      </c>
      <c r="C257" s="2">
        <v>-13802.707058976754</v>
      </c>
    </row>
    <row r="258" spans="1:3" x14ac:dyDescent="0.35">
      <c r="A258" s="2">
        <v>236</v>
      </c>
      <c r="B258" s="2">
        <v>59766.707058976754</v>
      </c>
      <c r="C258" s="2">
        <v>-17293.707058976754</v>
      </c>
    </row>
    <row r="259" spans="1:3" x14ac:dyDescent="0.35">
      <c r="A259" s="2">
        <v>237</v>
      </c>
      <c r="B259" s="2">
        <v>58243.239076168349</v>
      </c>
      <c r="C259" s="2">
        <v>16736.760923831651</v>
      </c>
    </row>
    <row r="260" spans="1:3" x14ac:dyDescent="0.35">
      <c r="A260" s="2">
        <v>238</v>
      </c>
      <c r="B260" s="2">
        <v>58243.239076168349</v>
      </c>
      <c r="C260" s="2">
        <v>-28243.239076168349</v>
      </c>
    </row>
    <row r="261" spans="1:3" x14ac:dyDescent="0.35">
      <c r="A261" s="2">
        <v>239</v>
      </c>
      <c r="B261" s="2">
        <v>61290.175041785158</v>
      </c>
      <c r="C261" s="2">
        <v>-17743.175041785158</v>
      </c>
    </row>
    <row r="262" spans="1:3" x14ac:dyDescent="0.35">
      <c r="A262" s="2">
        <v>240</v>
      </c>
      <c r="B262" s="2">
        <v>58243.239076168349</v>
      </c>
      <c r="C262" s="2">
        <v>20016.760923831651</v>
      </c>
    </row>
    <row r="263" spans="1:3" x14ac:dyDescent="0.35">
      <c r="A263" s="2">
        <v>241</v>
      </c>
      <c r="B263" s="2">
        <v>56719.771093359937</v>
      </c>
      <c r="C263" s="2">
        <v>-4759.7710933599374</v>
      </c>
    </row>
    <row r="264" spans="1:3" x14ac:dyDescent="0.35">
      <c r="A264" s="2">
        <v>242</v>
      </c>
      <c r="B264" s="2">
        <v>59766.707058976754</v>
      </c>
      <c r="C264" s="2">
        <v>-15577.707058976754</v>
      </c>
    </row>
    <row r="265" spans="1:3" x14ac:dyDescent="0.35">
      <c r="A265" s="2">
        <v>243</v>
      </c>
      <c r="B265" s="2">
        <v>61290.175041785158</v>
      </c>
      <c r="C265" s="2">
        <v>-15723.175041785158</v>
      </c>
    </row>
    <row r="266" spans="1:3" x14ac:dyDescent="0.35">
      <c r="A266" s="2">
        <v>244</v>
      </c>
      <c r="B266" s="2">
        <v>59766.707058976754</v>
      </c>
      <c r="C266" s="2">
        <v>-29766.707058976754</v>
      </c>
    </row>
    <row r="267" spans="1:3" x14ac:dyDescent="0.35">
      <c r="A267" s="2">
        <v>245</v>
      </c>
      <c r="B267" s="2">
        <v>61290.175041785158</v>
      </c>
      <c r="C267" s="2">
        <v>1335.8249582148419</v>
      </c>
    </row>
    <row r="268" spans="1:3" x14ac:dyDescent="0.35">
      <c r="A268" s="2">
        <v>246</v>
      </c>
      <c r="B268" s="2">
        <v>59766.707058976754</v>
      </c>
      <c r="C268" s="2">
        <v>-11492.707058976754</v>
      </c>
    </row>
    <row r="269" spans="1:3" x14ac:dyDescent="0.35">
      <c r="A269" s="2">
        <v>247</v>
      </c>
      <c r="B269" s="2">
        <v>59766.707058976754</v>
      </c>
      <c r="C269" s="2">
        <v>-29766.707058976754</v>
      </c>
    </row>
    <row r="270" spans="1:3" x14ac:dyDescent="0.35">
      <c r="A270" s="2">
        <v>248</v>
      </c>
      <c r="B270" s="2">
        <v>59766.707058976754</v>
      </c>
      <c r="C270" s="2">
        <v>-29766.707058976754</v>
      </c>
    </row>
    <row r="271" spans="1:3" x14ac:dyDescent="0.35">
      <c r="A271" s="2">
        <v>249</v>
      </c>
      <c r="B271" s="2">
        <v>61290.175041785158</v>
      </c>
      <c r="C271" s="2">
        <v>19343.824958214842</v>
      </c>
    </row>
    <row r="272" spans="1:3" x14ac:dyDescent="0.35">
      <c r="A272" s="2">
        <v>250</v>
      </c>
      <c r="B272" s="2">
        <v>61290.175041785158</v>
      </c>
      <c r="C272" s="2">
        <v>-25219.175041785158</v>
      </c>
    </row>
    <row r="273" spans="1:3" x14ac:dyDescent="0.35">
      <c r="A273" s="2">
        <v>251</v>
      </c>
      <c r="B273" s="2">
        <v>62813.643024593563</v>
      </c>
      <c r="C273" s="2">
        <v>43930.356975406437</v>
      </c>
    </row>
    <row r="274" spans="1:3" x14ac:dyDescent="0.35">
      <c r="A274" s="2">
        <v>252</v>
      </c>
      <c r="B274" s="2">
        <v>59766.707058976754</v>
      </c>
      <c r="C274" s="2">
        <v>-21012.707058976754</v>
      </c>
    </row>
    <row r="275" spans="1:3" x14ac:dyDescent="0.35">
      <c r="A275" s="2">
        <v>253</v>
      </c>
      <c r="B275" s="2">
        <v>59766.707058976754</v>
      </c>
      <c r="C275" s="2">
        <v>22242.292941023246</v>
      </c>
    </row>
    <row r="276" spans="1:3" x14ac:dyDescent="0.35">
      <c r="A276" s="2">
        <v>254</v>
      </c>
      <c r="B276" s="2">
        <v>56719.771093359937</v>
      </c>
      <c r="C276" s="2">
        <v>-13482.771093359937</v>
      </c>
    </row>
    <row r="277" spans="1:3" x14ac:dyDescent="0.35">
      <c r="A277" s="2">
        <v>255</v>
      </c>
      <c r="B277" s="2">
        <v>56719.771093359937</v>
      </c>
      <c r="C277" s="2">
        <v>-14464.771093359937</v>
      </c>
    </row>
    <row r="278" spans="1:3" x14ac:dyDescent="0.35">
      <c r="A278" s="2">
        <v>256</v>
      </c>
      <c r="B278" s="2">
        <v>59766.707058976754</v>
      </c>
      <c r="C278" s="2">
        <v>581.29294102324639</v>
      </c>
    </row>
    <row r="279" spans="1:3" x14ac:dyDescent="0.35">
      <c r="A279" s="2">
        <v>257</v>
      </c>
      <c r="B279" s="2">
        <v>58243.239076168349</v>
      </c>
      <c r="C279" s="2">
        <v>-28243.239076168349</v>
      </c>
    </row>
    <row r="280" spans="1:3" x14ac:dyDescent="0.35">
      <c r="A280" s="2">
        <v>258</v>
      </c>
      <c r="B280" s="2">
        <v>61290.175041785158</v>
      </c>
      <c r="C280" s="2">
        <v>-16172.175041785158</v>
      </c>
    </row>
    <row r="281" spans="1:3" x14ac:dyDescent="0.35">
      <c r="A281" s="2">
        <v>259</v>
      </c>
      <c r="B281" s="2">
        <v>56719.771093359937</v>
      </c>
      <c r="C281" s="2">
        <v>-21913.771093359937</v>
      </c>
    </row>
    <row r="282" spans="1:3" x14ac:dyDescent="0.35">
      <c r="A282" s="2">
        <v>260</v>
      </c>
      <c r="B282" s="2">
        <v>59766.707058976754</v>
      </c>
      <c r="C282" s="2">
        <v>-29766.707058976754</v>
      </c>
    </row>
    <row r="283" spans="1:3" x14ac:dyDescent="0.35">
      <c r="A283" s="2">
        <v>261</v>
      </c>
      <c r="B283" s="2">
        <v>59766.707058976754</v>
      </c>
      <c r="C283" s="2">
        <v>-12359.707058976754</v>
      </c>
    </row>
    <row r="284" spans="1:3" x14ac:dyDescent="0.35">
      <c r="A284" s="2">
        <v>262</v>
      </c>
      <c r="B284" s="2">
        <v>59766.707058976754</v>
      </c>
      <c r="C284" s="2">
        <v>-20859.707058976754</v>
      </c>
    </row>
    <row r="285" spans="1:3" x14ac:dyDescent="0.35">
      <c r="A285" s="2">
        <v>263</v>
      </c>
      <c r="B285" s="2">
        <v>56719.771093359937</v>
      </c>
      <c r="C285" s="2">
        <v>-26719.771093359937</v>
      </c>
    </row>
    <row r="286" spans="1:3" x14ac:dyDescent="0.35">
      <c r="A286" s="2">
        <v>264</v>
      </c>
      <c r="B286" s="2">
        <v>59766.707058976754</v>
      </c>
      <c r="C286" s="2">
        <v>1704.2929410232464</v>
      </c>
    </row>
    <row r="287" spans="1:3" x14ac:dyDescent="0.35">
      <c r="A287" s="2">
        <v>265</v>
      </c>
      <c r="B287" s="2">
        <v>62813.643024593563</v>
      </c>
      <c r="C287" s="2">
        <v>-32813.643024593563</v>
      </c>
    </row>
    <row r="288" spans="1:3" x14ac:dyDescent="0.35">
      <c r="A288" s="2">
        <v>266</v>
      </c>
      <c r="B288" s="2">
        <v>58243.239076168349</v>
      </c>
      <c r="C288" s="2">
        <v>-28243.239076168349</v>
      </c>
    </row>
    <row r="289" spans="1:3" x14ac:dyDescent="0.35">
      <c r="A289" s="2">
        <v>267</v>
      </c>
      <c r="B289" s="2">
        <v>61290.175041785158</v>
      </c>
      <c r="C289" s="2">
        <v>-30103.175041785158</v>
      </c>
    </row>
    <row r="290" spans="1:3" x14ac:dyDescent="0.35">
      <c r="A290" s="2">
        <v>268</v>
      </c>
      <c r="B290" s="2">
        <v>56719.771093359937</v>
      </c>
      <c r="C290" s="2">
        <v>-16613.771093359937</v>
      </c>
    </row>
    <row r="291" spans="1:3" x14ac:dyDescent="0.35">
      <c r="A291" s="2">
        <v>269</v>
      </c>
      <c r="B291" s="2">
        <v>59766.707058976754</v>
      </c>
      <c r="C291" s="2">
        <v>5350.2929410232464</v>
      </c>
    </row>
    <row r="292" spans="1:3" x14ac:dyDescent="0.35">
      <c r="A292" s="2">
        <v>270</v>
      </c>
      <c r="B292" s="2">
        <v>62813.643024593563</v>
      </c>
      <c r="C292" s="2">
        <v>-32813.643024593563</v>
      </c>
    </row>
    <row r="293" spans="1:3" x14ac:dyDescent="0.35">
      <c r="A293" s="2">
        <v>271</v>
      </c>
      <c r="B293" s="2">
        <v>61290.175041785158</v>
      </c>
      <c r="C293" s="2">
        <v>50478.824958214842</v>
      </c>
    </row>
    <row r="294" spans="1:3" x14ac:dyDescent="0.35">
      <c r="A294" s="2">
        <v>272</v>
      </c>
      <c r="B294" s="2">
        <v>56719.771093359937</v>
      </c>
      <c r="C294" s="2">
        <v>14458.228906640063</v>
      </c>
    </row>
    <row r="295" spans="1:3" x14ac:dyDescent="0.35">
      <c r="A295" s="2">
        <v>273</v>
      </c>
      <c r="B295" s="2">
        <v>58243.239076168349</v>
      </c>
      <c r="C295" s="2">
        <v>-23159.239076168349</v>
      </c>
    </row>
    <row r="296" spans="1:3" x14ac:dyDescent="0.35">
      <c r="A296" s="2">
        <v>274</v>
      </c>
      <c r="B296" s="2">
        <v>56719.771093359937</v>
      </c>
      <c r="C296" s="2">
        <v>-13850.771093359937</v>
      </c>
    </row>
    <row r="297" spans="1:3" x14ac:dyDescent="0.35">
      <c r="A297" s="2">
        <v>275</v>
      </c>
      <c r="B297" s="2">
        <v>59766.707058976754</v>
      </c>
      <c r="C297" s="2">
        <v>-29766.707058976754</v>
      </c>
    </row>
    <row r="298" spans="1:3" x14ac:dyDescent="0.35">
      <c r="A298" s="2">
        <v>276</v>
      </c>
      <c r="B298" s="2">
        <v>59766.707058976754</v>
      </c>
      <c r="C298" s="2">
        <v>-29766.707058976754</v>
      </c>
    </row>
    <row r="299" spans="1:3" x14ac:dyDescent="0.35">
      <c r="A299" s="2">
        <v>277</v>
      </c>
      <c r="B299" s="2">
        <v>59766.707058976754</v>
      </c>
      <c r="C299" s="2">
        <v>-6395.7070589767536</v>
      </c>
    </row>
    <row r="300" spans="1:3" x14ac:dyDescent="0.35">
      <c r="A300" s="2">
        <v>278</v>
      </c>
      <c r="B300" s="2">
        <v>61290.175041785158</v>
      </c>
      <c r="C300" s="2">
        <v>8297.8249582148419</v>
      </c>
    </row>
    <row r="301" spans="1:3" x14ac:dyDescent="0.35">
      <c r="A301" s="2">
        <v>279</v>
      </c>
      <c r="B301" s="2">
        <v>61290.175041785158</v>
      </c>
      <c r="C301" s="2">
        <v>-26124.175041785158</v>
      </c>
    </row>
    <row r="302" spans="1:3" x14ac:dyDescent="0.35">
      <c r="A302" s="2">
        <v>280</v>
      </c>
      <c r="B302" s="2">
        <v>59766.707058976754</v>
      </c>
      <c r="C302" s="2">
        <v>-985.70705897675361</v>
      </c>
    </row>
    <row r="303" spans="1:3" x14ac:dyDescent="0.35">
      <c r="A303" s="2">
        <v>281</v>
      </c>
      <c r="B303" s="2">
        <v>58243.239076168349</v>
      </c>
      <c r="C303" s="2">
        <v>-28220.239076168349</v>
      </c>
    </row>
    <row r="304" spans="1:3" x14ac:dyDescent="0.35">
      <c r="A304" s="2">
        <v>282</v>
      </c>
      <c r="B304" s="2">
        <v>58243.239076168349</v>
      </c>
      <c r="C304" s="2">
        <v>-3930.2390761683491</v>
      </c>
    </row>
    <row r="305" spans="1:3" x14ac:dyDescent="0.35">
      <c r="A305" s="2">
        <v>283</v>
      </c>
      <c r="B305" s="2">
        <v>59766.707058976754</v>
      </c>
      <c r="C305" s="2">
        <v>11372.292941023246</v>
      </c>
    </row>
    <row r="306" spans="1:3" x14ac:dyDescent="0.35">
      <c r="A306" s="2">
        <v>284</v>
      </c>
      <c r="B306" s="2">
        <v>61290.175041785158</v>
      </c>
      <c r="C306" s="2">
        <v>-7946.1750417851581</v>
      </c>
    </row>
    <row r="307" spans="1:3" x14ac:dyDescent="0.35">
      <c r="A307" s="2">
        <v>285</v>
      </c>
      <c r="B307" s="2">
        <v>59766.707058976754</v>
      </c>
      <c r="C307" s="2">
        <v>14671.292941023246</v>
      </c>
    </row>
    <row r="308" spans="1:3" x14ac:dyDescent="0.35">
      <c r="A308" s="2">
        <v>286</v>
      </c>
      <c r="B308" s="2">
        <v>59766.707058976754</v>
      </c>
      <c r="C308" s="2">
        <v>74268.292941023246</v>
      </c>
    </row>
    <row r="309" spans="1:3" x14ac:dyDescent="0.35">
      <c r="A309" s="2">
        <v>287</v>
      </c>
      <c r="B309" s="2">
        <v>59766.707058976754</v>
      </c>
      <c r="C309" s="2">
        <v>-14458.707058976754</v>
      </c>
    </row>
    <row r="310" spans="1:3" x14ac:dyDescent="0.35">
      <c r="A310" s="2">
        <v>288</v>
      </c>
      <c r="B310" s="2">
        <v>61290.175041785158</v>
      </c>
      <c r="C310" s="2">
        <v>37141.824958214842</v>
      </c>
    </row>
    <row r="311" spans="1:3" x14ac:dyDescent="0.35">
      <c r="A311" s="2">
        <v>289</v>
      </c>
      <c r="B311" s="2">
        <v>59766.707058976754</v>
      </c>
      <c r="C311" s="2">
        <v>-29766.707058976754</v>
      </c>
    </row>
    <row r="312" spans="1:3" x14ac:dyDescent="0.35">
      <c r="A312" s="2">
        <v>290</v>
      </c>
      <c r="B312" s="2">
        <v>59766.707058976754</v>
      </c>
      <c r="C312" s="2">
        <v>73390.292941023246</v>
      </c>
    </row>
    <row r="313" spans="1:3" x14ac:dyDescent="0.35">
      <c r="A313" s="2">
        <v>291</v>
      </c>
      <c r="B313" s="2">
        <v>59766.707058976754</v>
      </c>
      <c r="C313" s="2">
        <v>-24531.707058976754</v>
      </c>
    </row>
    <row r="314" spans="1:3" x14ac:dyDescent="0.35">
      <c r="A314" s="2">
        <v>292</v>
      </c>
      <c r="B314" s="2">
        <v>61290.175041785158</v>
      </c>
      <c r="C314" s="2">
        <v>-30074.175041785158</v>
      </c>
    </row>
    <row r="315" spans="1:3" x14ac:dyDescent="0.35">
      <c r="A315" s="2">
        <v>293</v>
      </c>
      <c r="B315" s="2">
        <v>58243.239076168349</v>
      </c>
      <c r="C315" s="2">
        <v>-7289.2390761683491</v>
      </c>
    </row>
    <row r="316" spans="1:3" x14ac:dyDescent="0.35">
      <c r="A316" s="2">
        <v>294</v>
      </c>
      <c r="B316" s="2">
        <v>58243.239076168349</v>
      </c>
      <c r="C316" s="2">
        <v>-28243.239076168349</v>
      </c>
    </row>
    <row r="317" spans="1:3" x14ac:dyDescent="0.35">
      <c r="A317" s="2">
        <v>295</v>
      </c>
      <c r="B317" s="2">
        <v>59766.707058976754</v>
      </c>
      <c r="C317" s="2">
        <v>-18247.707058976754</v>
      </c>
    </row>
    <row r="318" spans="1:3" x14ac:dyDescent="0.35">
      <c r="A318" s="2">
        <v>296</v>
      </c>
      <c r="B318" s="2">
        <v>59766.707058976754</v>
      </c>
      <c r="C318" s="2">
        <v>-29766.707058976754</v>
      </c>
    </row>
    <row r="319" spans="1:3" x14ac:dyDescent="0.35">
      <c r="A319" s="2">
        <v>297</v>
      </c>
      <c r="B319" s="2">
        <v>58243.239076168349</v>
      </c>
      <c r="C319" s="2">
        <v>-28243.239076168349</v>
      </c>
    </row>
    <row r="320" spans="1:3" x14ac:dyDescent="0.35">
      <c r="A320" s="2">
        <v>298</v>
      </c>
      <c r="B320" s="2">
        <v>59766.707058976754</v>
      </c>
      <c r="C320" s="2">
        <v>27639.292941023246</v>
      </c>
    </row>
    <row r="321" spans="1:3" x14ac:dyDescent="0.35">
      <c r="A321" s="2">
        <v>299</v>
      </c>
      <c r="B321" s="2">
        <v>58243.239076168349</v>
      </c>
      <c r="C321" s="2">
        <v>61799.760923831651</v>
      </c>
    </row>
    <row r="322" spans="1:3" x14ac:dyDescent="0.35">
      <c r="A322" s="2">
        <v>300</v>
      </c>
      <c r="B322" s="2">
        <v>59766.707058976754</v>
      </c>
      <c r="C322" s="2">
        <v>-3578.7070589767536</v>
      </c>
    </row>
    <row r="323" spans="1:3" x14ac:dyDescent="0.35">
      <c r="A323" s="2">
        <v>301</v>
      </c>
      <c r="B323" s="2">
        <v>61290.175041785158</v>
      </c>
      <c r="C323" s="2">
        <v>21546.824958214842</v>
      </c>
    </row>
    <row r="324" spans="1:3" x14ac:dyDescent="0.35">
      <c r="A324" s="2">
        <v>302</v>
      </c>
      <c r="B324" s="2">
        <v>56719.771093359937</v>
      </c>
      <c r="C324" s="2">
        <v>-26719.771093359937</v>
      </c>
    </row>
    <row r="325" spans="1:3" x14ac:dyDescent="0.35">
      <c r="A325" s="2">
        <v>303</v>
      </c>
      <c r="B325" s="2">
        <v>59766.707058976754</v>
      </c>
      <c r="C325" s="2">
        <v>33394.292941023246</v>
      </c>
    </row>
    <row r="326" spans="1:3" x14ac:dyDescent="0.35">
      <c r="A326" s="2">
        <v>304</v>
      </c>
      <c r="B326" s="2">
        <v>61290.175041785158</v>
      </c>
      <c r="C326" s="2">
        <v>-29121.175041785158</v>
      </c>
    </row>
    <row r="327" spans="1:3" x14ac:dyDescent="0.35">
      <c r="A327" s="2">
        <v>305</v>
      </c>
      <c r="B327" s="2">
        <v>59766.707058976754</v>
      </c>
      <c r="C327" s="2">
        <v>159008.29294102325</v>
      </c>
    </row>
    <row r="328" spans="1:3" x14ac:dyDescent="0.35">
      <c r="A328" s="2">
        <v>306</v>
      </c>
      <c r="B328" s="2">
        <v>59766.707058976754</v>
      </c>
      <c r="C328" s="2">
        <v>-18354.707058976754</v>
      </c>
    </row>
    <row r="329" spans="1:3" x14ac:dyDescent="0.35">
      <c r="A329" s="2">
        <v>307</v>
      </c>
      <c r="B329" s="2">
        <v>59766.707058976754</v>
      </c>
      <c r="C329" s="2">
        <v>7248.2929410232464</v>
      </c>
    </row>
    <row r="330" spans="1:3" x14ac:dyDescent="0.35">
      <c r="A330" s="2">
        <v>308</v>
      </c>
      <c r="B330" s="2">
        <v>58243.239076168349</v>
      </c>
      <c r="C330" s="2">
        <v>-22688.239076168349</v>
      </c>
    </row>
    <row r="331" spans="1:3" x14ac:dyDescent="0.35">
      <c r="A331" s="2">
        <v>309</v>
      </c>
      <c r="B331" s="2">
        <v>61290.175041785158</v>
      </c>
      <c r="C331" s="2">
        <v>-3393.1750417851581</v>
      </c>
    </row>
    <row r="332" spans="1:3" x14ac:dyDescent="0.35">
      <c r="A332" s="2">
        <v>310</v>
      </c>
      <c r="B332" s="2">
        <v>62813.643024593563</v>
      </c>
      <c r="C332" s="2">
        <v>-1168.6430245935626</v>
      </c>
    </row>
    <row r="333" spans="1:3" x14ac:dyDescent="0.35">
      <c r="A333" s="2">
        <v>311</v>
      </c>
      <c r="B333" s="2">
        <v>62813.643024593563</v>
      </c>
      <c r="C333" s="2">
        <v>-32813.643024593563</v>
      </c>
    </row>
    <row r="334" spans="1:3" x14ac:dyDescent="0.35">
      <c r="A334" s="2">
        <v>312</v>
      </c>
      <c r="B334" s="2">
        <v>59766.707058976754</v>
      </c>
      <c r="C334" s="2">
        <v>-24824.707058976754</v>
      </c>
    </row>
    <row r="335" spans="1:3" x14ac:dyDescent="0.35">
      <c r="A335" s="2">
        <v>313</v>
      </c>
      <c r="B335" s="2">
        <v>61290.175041785158</v>
      </c>
      <c r="C335" s="2">
        <v>-23789.175041785158</v>
      </c>
    </row>
    <row r="336" spans="1:3" x14ac:dyDescent="0.35">
      <c r="A336" s="2">
        <v>314</v>
      </c>
      <c r="B336" s="2">
        <v>58243.239076168349</v>
      </c>
      <c r="C336" s="2">
        <v>-11814.239076168349</v>
      </c>
    </row>
    <row r="337" spans="1:3" x14ac:dyDescent="0.35">
      <c r="A337" s="2">
        <v>315</v>
      </c>
      <c r="B337" s="2">
        <v>61290.175041785158</v>
      </c>
      <c r="C337" s="2">
        <v>37808.824958214842</v>
      </c>
    </row>
    <row r="338" spans="1:3" x14ac:dyDescent="0.35">
      <c r="A338" s="2">
        <v>316</v>
      </c>
      <c r="B338" s="2">
        <v>61290.175041785158</v>
      </c>
      <c r="C338" s="2">
        <v>-19884.175041785158</v>
      </c>
    </row>
    <row r="339" spans="1:3" x14ac:dyDescent="0.35">
      <c r="A339" s="2">
        <v>317</v>
      </c>
      <c r="B339" s="2">
        <v>56719.771093359937</v>
      </c>
      <c r="C339" s="2">
        <v>14567.228906640063</v>
      </c>
    </row>
    <row r="340" spans="1:3" x14ac:dyDescent="0.35">
      <c r="A340" s="2">
        <v>318</v>
      </c>
      <c r="B340" s="2">
        <v>58243.239076168349</v>
      </c>
      <c r="C340" s="2">
        <v>-9646.2390761683491</v>
      </c>
    </row>
    <row r="341" spans="1:3" x14ac:dyDescent="0.35">
      <c r="A341" s="2">
        <v>319</v>
      </c>
      <c r="B341" s="2">
        <v>61290.175041785158</v>
      </c>
      <c r="C341" s="2">
        <v>72149.824958214842</v>
      </c>
    </row>
    <row r="342" spans="1:3" x14ac:dyDescent="0.35">
      <c r="A342" s="2">
        <v>320</v>
      </c>
      <c r="B342" s="2">
        <v>59766.707058976754</v>
      </c>
      <c r="C342" s="2">
        <v>-29766.707058976754</v>
      </c>
    </row>
    <row r="343" spans="1:3" x14ac:dyDescent="0.35">
      <c r="A343" s="2">
        <v>321</v>
      </c>
      <c r="B343" s="2">
        <v>59766.707058976754</v>
      </c>
      <c r="C343" s="2">
        <v>-29766.707058976754</v>
      </c>
    </row>
    <row r="344" spans="1:3" x14ac:dyDescent="0.35">
      <c r="A344" s="2">
        <v>322</v>
      </c>
      <c r="B344" s="2">
        <v>59766.707058976754</v>
      </c>
      <c r="C344" s="2">
        <v>73053.292941023246</v>
      </c>
    </row>
    <row r="345" spans="1:3" x14ac:dyDescent="0.35">
      <c r="A345" s="2">
        <v>323</v>
      </c>
      <c r="B345" s="2">
        <v>59766.707058976754</v>
      </c>
      <c r="C345" s="2">
        <v>-27411.707058976754</v>
      </c>
    </row>
    <row r="346" spans="1:3" x14ac:dyDescent="0.35">
      <c r="A346" s="2">
        <v>324</v>
      </c>
      <c r="B346" s="2">
        <v>59766.707058976754</v>
      </c>
      <c r="C346" s="2">
        <v>-10201.707058976754</v>
      </c>
    </row>
    <row r="347" spans="1:3" x14ac:dyDescent="0.35">
      <c r="A347" s="2">
        <v>325</v>
      </c>
      <c r="B347" s="2">
        <v>58243.239076168349</v>
      </c>
      <c r="C347" s="2">
        <v>-25135.239076168349</v>
      </c>
    </row>
    <row r="348" spans="1:3" x14ac:dyDescent="0.35">
      <c r="A348" s="2">
        <v>326</v>
      </c>
      <c r="B348" s="2">
        <v>58243.239076168349</v>
      </c>
      <c r="C348" s="2">
        <v>68223.760923831651</v>
      </c>
    </row>
    <row r="349" spans="1:3" x14ac:dyDescent="0.35">
      <c r="A349" s="2">
        <v>327</v>
      </c>
      <c r="B349" s="2">
        <v>61290.175041785158</v>
      </c>
      <c r="C349" s="2">
        <v>-22916.175041785158</v>
      </c>
    </row>
    <row r="350" spans="1:3" x14ac:dyDescent="0.35">
      <c r="A350" s="2">
        <v>328</v>
      </c>
      <c r="B350" s="2">
        <v>59766.707058976754</v>
      </c>
      <c r="C350" s="2">
        <v>-29766.707058976754</v>
      </c>
    </row>
    <row r="351" spans="1:3" x14ac:dyDescent="0.35">
      <c r="A351" s="2">
        <v>329</v>
      </c>
      <c r="B351" s="2">
        <v>61290.175041785158</v>
      </c>
      <c r="C351" s="2">
        <v>24746.824958214842</v>
      </c>
    </row>
    <row r="352" spans="1:3" x14ac:dyDescent="0.35">
      <c r="A352" s="2">
        <v>330</v>
      </c>
      <c r="B352" s="2">
        <v>61290.175041785158</v>
      </c>
      <c r="C352" s="2">
        <v>-30783.175041785158</v>
      </c>
    </row>
    <row r="353" spans="1:3" x14ac:dyDescent="0.35">
      <c r="A353" s="2">
        <v>331</v>
      </c>
      <c r="B353" s="2">
        <v>59766.707058976754</v>
      </c>
      <c r="C353" s="2">
        <v>-10115.707058976754</v>
      </c>
    </row>
    <row r="354" spans="1:3" x14ac:dyDescent="0.35">
      <c r="A354" s="2">
        <v>332</v>
      </c>
      <c r="B354" s="2">
        <v>61290.175041785158</v>
      </c>
      <c r="C354" s="2">
        <v>18681.824958214842</v>
      </c>
    </row>
    <row r="355" spans="1:3" x14ac:dyDescent="0.35">
      <c r="A355" s="2">
        <v>333</v>
      </c>
      <c r="B355" s="2">
        <v>58243.239076168349</v>
      </c>
      <c r="C355" s="2">
        <v>-21217.239076168349</v>
      </c>
    </row>
    <row r="356" spans="1:3" x14ac:dyDescent="0.35">
      <c r="A356" s="2">
        <v>334</v>
      </c>
      <c r="B356" s="2">
        <v>61290.175041785158</v>
      </c>
      <c r="C356" s="2">
        <v>12876.824958214842</v>
      </c>
    </row>
    <row r="357" spans="1:3" x14ac:dyDescent="0.35">
      <c r="A357" s="2">
        <v>335</v>
      </c>
      <c r="B357" s="2">
        <v>59766.707058976754</v>
      </c>
      <c r="C357" s="2">
        <v>70.292941023246385</v>
      </c>
    </row>
    <row r="358" spans="1:3" x14ac:dyDescent="0.35">
      <c r="A358" s="2">
        <v>336</v>
      </c>
      <c r="B358" s="2">
        <v>59766.707058976754</v>
      </c>
      <c r="C358" s="2">
        <v>-8960.7070589767536</v>
      </c>
    </row>
    <row r="359" spans="1:3" x14ac:dyDescent="0.35">
      <c r="A359" s="2">
        <v>337</v>
      </c>
      <c r="B359" s="2">
        <v>61290.175041785158</v>
      </c>
      <c r="C359" s="2">
        <v>-792.1750417851581</v>
      </c>
    </row>
    <row r="360" spans="1:3" x14ac:dyDescent="0.35">
      <c r="A360" s="2">
        <v>338</v>
      </c>
      <c r="B360" s="2">
        <v>58243.239076168349</v>
      </c>
      <c r="C360" s="2">
        <v>-28243.239076168349</v>
      </c>
    </row>
    <row r="361" spans="1:3" x14ac:dyDescent="0.35">
      <c r="A361" s="2">
        <v>339</v>
      </c>
      <c r="B361" s="2">
        <v>58243.239076168349</v>
      </c>
      <c r="C361" s="2">
        <v>-19416.239076168349</v>
      </c>
    </row>
    <row r="362" spans="1:3" x14ac:dyDescent="0.35">
      <c r="A362" s="2">
        <v>340</v>
      </c>
      <c r="B362" s="2">
        <v>61290.175041785158</v>
      </c>
      <c r="C362" s="2">
        <v>-24655.175041785158</v>
      </c>
    </row>
    <row r="363" spans="1:3" x14ac:dyDescent="0.35">
      <c r="A363" s="2">
        <v>341</v>
      </c>
      <c r="B363" s="2">
        <v>56719.771093359937</v>
      </c>
      <c r="C363" s="2">
        <v>-22990.771093359937</v>
      </c>
    </row>
    <row r="364" spans="1:3" x14ac:dyDescent="0.35">
      <c r="A364" s="2">
        <v>342</v>
      </c>
      <c r="B364" s="2">
        <v>59766.707058976754</v>
      </c>
      <c r="C364" s="2">
        <v>-17541.707058976754</v>
      </c>
    </row>
    <row r="365" spans="1:3" x14ac:dyDescent="0.35">
      <c r="A365" s="2">
        <v>343</v>
      </c>
      <c r="B365" s="2">
        <v>59766.707058976754</v>
      </c>
      <c r="C365" s="2">
        <v>-27189.707058976754</v>
      </c>
    </row>
    <row r="366" spans="1:3" x14ac:dyDescent="0.35">
      <c r="A366" s="2">
        <v>344</v>
      </c>
      <c r="B366" s="2">
        <v>61290.175041785158</v>
      </c>
      <c r="C366" s="2">
        <v>-12542.175041785158</v>
      </c>
    </row>
    <row r="367" spans="1:3" x14ac:dyDescent="0.35">
      <c r="A367" s="2">
        <v>345</v>
      </c>
      <c r="B367" s="2">
        <v>59766.707058976754</v>
      </c>
      <c r="C367" s="2">
        <v>8521.2929410232464</v>
      </c>
    </row>
    <row r="368" spans="1:3" x14ac:dyDescent="0.35">
      <c r="A368" s="2">
        <v>346</v>
      </c>
      <c r="B368" s="2">
        <v>58243.239076168349</v>
      </c>
      <c r="C368" s="2">
        <v>79965.760923831651</v>
      </c>
    </row>
    <row r="369" spans="1:3" x14ac:dyDescent="0.35">
      <c r="A369" s="2">
        <v>347</v>
      </c>
      <c r="B369" s="2">
        <v>61290.175041785158</v>
      </c>
      <c r="C369" s="2">
        <v>-42.175041785158101</v>
      </c>
    </row>
    <row r="370" spans="1:3" x14ac:dyDescent="0.35">
      <c r="A370" s="2">
        <v>348</v>
      </c>
      <c r="B370" s="2">
        <v>61290.175041785158</v>
      </c>
      <c r="C370" s="2">
        <v>-24079.175041785158</v>
      </c>
    </row>
    <row r="371" spans="1:3" x14ac:dyDescent="0.35">
      <c r="A371" s="2">
        <v>349</v>
      </c>
      <c r="B371" s="2">
        <v>59766.707058976754</v>
      </c>
      <c r="C371" s="2">
        <v>-29766.707058976754</v>
      </c>
    </row>
    <row r="372" spans="1:3" x14ac:dyDescent="0.35">
      <c r="A372" s="2">
        <v>350</v>
      </c>
      <c r="B372" s="2">
        <v>56719.771093359937</v>
      </c>
      <c r="C372" s="2">
        <v>-2764.7710933599374</v>
      </c>
    </row>
    <row r="373" spans="1:3" x14ac:dyDescent="0.35">
      <c r="A373" s="2">
        <v>351</v>
      </c>
      <c r="B373" s="2">
        <v>58243.239076168349</v>
      </c>
      <c r="C373" s="2">
        <v>-28243.239076168349</v>
      </c>
    </row>
    <row r="374" spans="1:3" x14ac:dyDescent="0.35">
      <c r="A374" s="2">
        <v>352</v>
      </c>
      <c r="B374" s="2">
        <v>59766.707058976754</v>
      </c>
      <c r="C374" s="2">
        <v>42628.292941023246</v>
      </c>
    </row>
    <row r="375" spans="1:3" x14ac:dyDescent="0.35">
      <c r="A375" s="2">
        <v>353</v>
      </c>
      <c r="B375" s="2">
        <v>56719.771093359937</v>
      </c>
      <c r="C375" s="2">
        <v>34221.228906640063</v>
      </c>
    </row>
    <row r="376" spans="1:3" x14ac:dyDescent="0.35">
      <c r="A376" s="2">
        <v>354</v>
      </c>
      <c r="B376" s="2">
        <v>59766.707058976754</v>
      </c>
      <c r="C376" s="2">
        <v>53239.292941023246</v>
      </c>
    </row>
    <row r="377" spans="1:3" x14ac:dyDescent="0.35">
      <c r="A377" s="2">
        <v>355</v>
      </c>
      <c r="B377" s="2">
        <v>62813.643024593563</v>
      </c>
      <c r="C377" s="2">
        <v>-32813.643024593563</v>
      </c>
    </row>
    <row r="378" spans="1:3" x14ac:dyDescent="0.35">
      <c r="A378" s="2">
        <v>356</v>
      </c>
      <c r="B378" s="2">
        <v>58243.239076168349</v>
      </c>
      <c r="C378" s="2">
        <v>-14108.239076168349</v>
      </c>
    </row>
    <row r="379" spans="1:3" x14ac:dyDescent="0.35">
      <c r="A379" s="2">
        <v>357</v>
      </c>
      <c r="B379" s="2">
        <v>56719.771093359937</v>
      </c>
      <c r="C379" s="2">
        <v>-23994.771093359937</v>
      </c>
    </row>
    <row r="380" spans="1:3" x14ac:dyDescent="0.35">
      <c r="A380" s="2">
        <v>358</v>
      </c>
      <c r="B380" s="2">
        <v>59766.707058976754</v>
      </c>
      <c r="C380" s="2">
        <v>-7077.7070589767536</v>
      </c>
    </row>
    <row r="381" spans="1:3" x14ac:dyDescent="0.35">
      <c r="A381" s="2">
        <v>359</v>
      </c>
      <c r="B381" s="2">
        <v>58243.239076168349</v>
      </c>
      <c r="C381" s="2">
        <v>-28243.239076168349</v>
      </c>
    </row>
    <row r="382" spans="1:3" x14ac:dyDescent="0.35">
      <c r="A382" s="2">
        <v>360</v>
      </c>
      <c r="B382" s="2">
        <v>61290.175041785158</v>
      </c>
      <c r="C382" s="2">
        <v>-31290.175041785158</v>
      </c>
    </row>
    <row r="383" spans="1:3" x14ac:dyDescent="0.35">
      <c r="A383" s="2">
        <v>361</v>
      </c>
      <c r="B383" s="2">
        <v>58243.239076168349</v>
      </c>
      <c r="C383" s="2">
        <v>19048.760923831651</v>
      </c>
    </row>
    <row r="384" spans="1:3" x14ac:dyDescent="0.35">
      <c r="A384" s="2">
        <v>362</v>
      </c>
      <c r="B384" s="2">
        <v>59766.707058976754</v>
      </c>
      <c r="C384" s="2">
        <v>5800.2929410232464</v>
      </c>
    </row>
    <row r="385" spans="1:3" x14ac:dyDescent="0.35">
      <c r="A385" s="2">
        <v>363</v>
      </c>
      <c r="B385" s="2">
        <v>56719.771093359937</v>
      </c>
      <c r="C385" s="2">
        <v>-9508.7710933599374</v>
      </c>
    </row>
    <row r="386" spans="1:3" x14ac:dyDescent="0.35">
      <c r="A386" s="2">
        <v>364</v>
      </c>
      <c r="B386" s="2">
        <v>58243.239076168349</v>
      </c>
      <c r="C386" s="2">
        <v>-15374.239076168349</v>
      </c>
    </row>
    <row r="387" spans="1:3" x14ac:dyDescent="0.35">
      <c r="A387" s="2">
        <v>365</v>
      </c>
      <c r="B387" s="2">
        <v>56719.771093359937</v>
      </c>
      <c r="C387" s="2">
        <v>-12421.771093359937</v>
      </c>
    </row>
    <row r="388" spans="1:3" x14ac:dyDescent="0.35">
      <c r="A388" s="2">
        <v>366</v>
      </c>
      <c r="B388" s="2">
        <v>59766.707058976754</v>
      </c>
      <c r="C388" s="2">
        <v>-29766.707058976754</v>
      </c>
    </row>
    <row r="389" spans="1:3" x14ac:dyDescent="0.35">
      <c r="A389" s="2">
        <v>367</v>
      </c>
      <c r="B389" s="2">
        <v>59766.707058976754</v>
      </c>
      <c r="C389" s="2">
        <v>20051.292941023246</v>
      </c>
    </row>
    <row r="390" spans="1:3" x14ac:dyDescent="0.35">
      <c r="A390" s="2">
        <v>368</v>
      </c>
      <c r="B390" s="2">
        <v>61290.175041785158</v>
      </c>
      <c r="C390" s="2">
        <v>-20320.175041785158</v>
      </c>
    </row>
    <row r="391" spans="1:3" x14ac:dyDescent="0.35">
      <c r="A391" s="2">
        <v>369</v>
      </c>
      <c r="B391" s="2">
        <v>59766.707058976754</v>
      </c>
      <c r="C391" s="2">
        <v>-22672.707058976754</v>
      </c>
    </row>
    <row r="392" spans="1:3" x14ac:dyDescent="0.35">
      <c r="A392" s="2">
        <v>370</v>
      </c>
      <c r="B392" s="2">
        <v>59766.707058976754</v>
      </c>
      <c r="C392" s="2">
        <v>-23833.707058976754</v>
      </c>
    </row>
    <row r="393" spans="1:3" x14ac:dyDescent="0.35">
      <c r="A393" s="2">
        <v>371</v>
      </c>
      <c r="B393" s="2">
        <v>59766.707058976754</v>
      </c>
      <c r="C393" s="2">
        <v>27264.292941023246</v>
      </c>
    </row>
    <row r="394" spans="1:3" x14ac:dyDescent="0.35">
      <c r="A394" s="2">
        <v>372</v>
      </c>
      <c r="B394" s="2">
        <v>59766.707058976754</v>
      </c>
      <c r="C394" s="2">
        <v>53117.292941023246</v>
      </c>
    </row>
    <row r="395" spans="1:3" x14ac:dyDescent="0.35">
      <c r="A395" s="2">
        <v>373</v>
      </c>
      <c r="B395" s="2">
        <v>58243.239076168349</v>
      </c>
      <c r="C395" s="2">
        <v>42490.760923831651</v>
      </c>
    </row>
    <row r="396" spans="1:3" x14ac:dyDescent="0.35">
      <c r="A396" s="2">
        <v>374</v>
      </c>
      <c r="B396" s="2">
        <v>61290.175041785158</v>
      </c>
      <c r="C396" s="2">
        <v>-23475.175041785158</v>
      </c>
    </row>
    <row r="397" spans="1:3" x14ac:dyDescent="0.35">
      <c r="A397" s="2">
        <v>375</v>
      </c>
      <c r="B397" s="2">
        <v>61290.175041785158</v>
      </c>
      <c r="C397" s="2">
        <v>24245.824958214842</v>
      </c>
    </row>
    <row r="398" spans="1:3" x14ac:dyDescent="0.35">
      <c r="A398" s="2">
        <v>376</v>
      </c>
      <c r="B398" s="2">
        <v>61290.175041785158</v>
      </c>
      <c r="C398" s="2">
        <v>-26345.175041785158</v>
      </c>
    </row>
    <row r="399" spans="1:3" x14ac:dyDescent="0.35">
      <c r="A399" s="2">
        <v>377</v>
      </c>
      <c r="B399" s="2">
        <v>56719.771093359937</v>
      </c>
      <c r="C399" s="2">
        <v>-26256.771093359937</v>
      </c>
    </row>
    <row r="400" spans="1:3" x14ac:dyDescent="0.35">
      <c r="A400" s="2">
        <v>378</v>
      </c>
      <c r="B400" s="2">
        <v>56719.771093359937</v>
      </c>
      <c r="C400" s="2">
        <v>-4373.7710933599374</v>
      </c>
    </row>
    <row r="401" spans="1:3" x14ac:dyDescent="0.35">
      <c r="A401" s="2">
        <v>379</v>
      </c>
      <c r="B401" s="2">
        <v>61290.175041785158</v>
      </c>
      <c r="C401" s="2">
        <v>-20436.175041785158</v>
      </c>
    </row>
    <row r="402" spans="1:3" x14ac:dyDescent="0.35">
      <c r="A402" s="2">
        <v>380</v>
      </c>
      <c r="B402" s="2">
        <v>62813.643024593563</v>
      </c>
      <c r="C402" s="2">
        <v>88739.356975406437</v>
      </c>
    </row>
    <row r="403" spans="1:3" x14ac:dyDescent="0.35">
      <c r="A403" s="2">
        <v>381</v>
      </c>
      <c r="B403" s="2">
        <v>56719.771093359937</v>
      </c>
      <c r="C403" s="2">
        <v>-14304.771093359937</v>
      </c>
    </row>
    <row r="404" spans="1:3" x14ac:dyDescent="0.35">
      <c r="A404" s="2">
        <v>382</v>
      </c>
      <c r="B404" s="2">
        <v>59766.707058976754</v>
      </c>
      <c r="C404" s="2">
        <v>94805.292941023246</v>
      </c>
    </row>
    <row r="405" spans="1:3" x14ac:dyDescent="0.35">
      <c r="A405" s="2">
        <v>383</v>
      </c>
      <c r="B405" s="2">
        <v>59766.707058976754</v>
      </c>
      <c r="C405" s="2">
        <v>25259.292941023246</v>
      </c>
    </row>
    <row r="406" spans="1:3" x14ac:dyDescent="0.35">
      <c r="A406" s="2">
        <v>384</v>
      </c>
      <c r="B406" s="2">
        <v>58243.239076168349</v>
      </c>
      <c r="C406" s="2">
        <v>2646.7609238316509</v>
      </c>
    </row>
    <row r="407" spans="1:3" x14ac:dyDescent="0.35">
      <c r="A407" s="2">
        <v>385</v>
      </c>
      <c r="B407" s="2">
        <v>61290.175041785158</v>
      </c>
      <c r="C407" s="2">
        <v>5479.8249582148419</v>
      </c>
    </row>
    <row r="408" spans="1:3" x14ac:dyDescent="0.35">
      <c r="A408" s="2">
        <v>386</v>
      </c>
      <c r="B408" s="2">
        <v>58243.239076168349</v>
      </c>
      <c r="C408" s="2">
        <v>1250.7609238316509</v>
      </c>
    </row>
    <row r="409" spans="1:3" x14ac:dyDescent="0.35">
      <c r="A409" s="2">
        <v>387</v>
      </c>
      <c r="B409" s="2">
        <v>56719.771093359937</v>
      </c>
      <c r="C409" s="2">
        <v>-19212.771093359937</v>
      </c>
    </row>
    <row r="410" spans="1:3" x14ac:dyDescent="0.35">
      <c r="A410" s="2">
        <v>388</v>
      </c>
      <c r="B410" s="2">
        <v>56719.771093359937</v>
      </c>
      <c r="C410" s="2">
        <v>-26719.771093359937</v>
      </c>
    </row>
    <row r="411" spans="1:3" x14ac:dyDescent="0.35">
      <c r="A411" s="2">
        <v>389</v>
      </c>
      <c r="B411" s="2">
        <v>58243.239076168349</v>
      </c>
      <c r="C411" s="2">
        <v>11268.760923831651</v>
      </c>
    </row>
    <row r="412" spans="1:3" x14ac:dyDescent="0.35">
      <c r="A412" s="2">
        <v>390</v>
      </c>
      <c r="B412" s="2">
        <v>61290.175041785158</v>
      </c>
      <c r="C412" s="2">
        <v>50560.824958214842</v>
      </c>
    </row>
    <row r="413" spans="1:3" x14ac:dyDescent="0.35">
      <c r="A413" s="2">
        <v>391</v>
      </c>
      <c r="B413" s="2">
        <v>59766.707058976754</v>
      </c>
      <c r="C413" s="2">
        <v>6046.2929410232464</v>
      </c>
    </row>
    <row r="414" spans="1:3" x14ac:dyDescent="0.35">
      <c r="A414" s="2">
        <v>392</v>
      </c>
      <c r="B414" s="2">
        <v>61290.175041785158</v>
      </c>
      <c r="C414" s="2">
        <v>-19464.175041785158</v>
      </c>
    </row>
    <row r="415" spans="1:3" x14ac:dyDescent="0.35">
      <c r="A415" s="2">
        <v>393</v>
      </c>
      <c r="B415" s="2">
        <v>62813.643024593563</v>
      </c>
      <c r="C415" s="2">
        <v>14413.356975406437</v>
      </c>
    </row>
    <row r="416" spans="1:3" x14ac:dyDescent="0.35">
      <c r="A416" s="2">
        <v>394</v>
      </c>
      <c r="B416" s="2">
        <v>59766.707058976754</v>
      </c>
      <c r="C416" s="2">
        <v>2267.2929410232464</v>
      </c>
    </row>
    <row r="417" spans="1:3" x14ac:dyDescent="0.35">
      <c r="A417" s="2">
        <v>395</v>
      </c>
      <c r="B417" s="2">
        <v>62813.643024593563</v>
      </c>
      <c r="C417" s="2">
        <v>-9282.6430245935626</v>
      </c>
    </row>
    <row r="418" spans="1:3" x14ac:dyDescent="0.35">
      <c r="A418" s="2">
        <v>396</v>
      </c>
      <c r="B418" s="2">
        <v>61290.175041785158</v>
      </c>
      <c r="C418" s="2">
        <v>-9784.1750417851581</v>
      </c>
    </row>
    <row r="419" spans="1:3" x14ac:dyDescent="0.35">
      <c r="A419" s="2">
        <v>397</v>
      </c>
      <c r="B419" s="2">
        <v>56719.771093359937</v>
      </c>
      <c r="C419" s="2">
        <v>-1949.7710933599374</v>
      </c>
    </row>
    <row r="420" spans="1:3" x14ac:dyDescent="0.35">
      <c r="A420" s="2">
        <v>398</v>
      </c>
      <c r="B420" s="2">
        <v>61290.175041785158</v>
      </c>
      <c r="C420" s="2">
        <v>-12080.175041785158</v>
      </c>
    </row>
    <row r="421" spans="1:3" x14ac:dyDescent="0.35">
      <c r="A421" s="2">
        <v>399</v>
      </c>
      <c r="B421" s="2">
        <v>59766.707058976754</v>
      </c>
      <c r="C421" s="2">
        <v>15630.292941023246</v>
      </c>
    </row>
    <row r="422" spans="1:3" x14ac:dyDescent="0.35">
      <c r="A422" s="2">
        <v>400</v>
      </c>
      <c r="B422" s="2">
        <v>61290.175041785158</v>
      </c>
      <c r="C422" s="2">
        <v>-28459.175041785158</v>
      </c>
    </row>
    <row r="423" spans="1:3" x14ac:dyDescent="0.35">
      <c r="A423" s="2">
        <v>401</v>
      </c>
      <c r="B423" s="2">
        <v>61290.175041785158</v>
      </c>
      <c r="C423" s="2">
        <v>-22944.175041785158</v>
      </c>
    </row>
    <row r="424" spans="1:3" x14ac:dyDescent="0.35">
      <c r="A424" s="2">
        <v>402</v>
      </c>
      <c r="B424" s="2">
        <v>59766.707058976754</v>
      </c>
      <c r="C424" s="2">
        <v>14761.292941023246</v>
      </c>
    </row>
    <row r="425" spans="1:3" x14ac:dyDescent="0.35">
      <c r="A425" s="2">
        <v>403</v>
      </c>
      <c r="B425" s="2">
        <v>61290.175041785158</v>
      </c>
      <c r="C425" s="2">
        <v>-31290.175041785158</v>
      </c>
    </row>
    <row r="426" spans="1:3" x14ac:dyDescent="0.35">
      <c r="A426" s="2">
        <v>404</v>
      </c>
      <c r="B426" s="2">
        <v>58243.239076168349</v>
      </c>
      <c r="C426" s="2">
        <v>-18863.239076168349</v>
      </c>
    </row>
    <row r="427" spans="1:3" x14ac:dyDescent="0.35">
      <c r="A427" s="2">
        <v>405</v>
      </c>
      <c r="B427" s="2">
        <v>62813.643024593563</v>
      </c>
      <c r="C427" s="2">
        <v>-23893.643024593563</v>
      </c>
    </row>
    <row r="428" spans="1:3" x14ac:dyDescent="0.35">
      <c r="A428" s="2">
        <v>406</v>
      </c>
      <c r="B428" s="2">
        <v>61290.175041785158</v>
      </c>
      <c r="C428" s="2">
        <v>-1263.1750417851581</v>
      </c>
    </row>
    <row r="429" spans="1:3" x14ac:dyDescent="0.35">
      <c r="A429" s="2">
        <v>407</v>
      </c>
      <c r="B429" s="2">
        <v>58243.239076168349</v>
      </c>
      <c r="C429" s="2">
        <v>9681.7609238316509</v>
      </c>
    </row>
    <row r="430" spans="1:3" x14ac:dyDescent="0.35">
      <c r="A430" s="2">
        <v>408</v>
      </c>
      <c r="B430" s="2">
        <v>61290.175041785158</v>
      </c>
      <c r="C430" s="2">
        <v>19781.824958214842</v>
      </c>
    </row>
    <row r="431" spans="1:3" x14ac:dyDescent="0.35">
      <c r="A431" s="2">
        <v>409</v>
      </c>
      <c r="B431" s="2">
        <v>61290.175041785158</v>
      </c>
      <c r="C431" s="2">
        <v>-16947.175041785158</v>
      </c>
    </row>
    <row r="432" spans="1:3" x14ac:dyDescent="0.35">
      <c r="A432" s="2">
        <v>410</v>
      </c>
      <c r="B432" s="2">
        <v>59766.707058976754</v>
      </c>
      <c r="C432" s="2">
        <v>71367.292941023246</v>
      </c>
    </row>
    <row r="433" spans="1:3" x14ac:dyDescent="0.35">
      <c r="A433" s="2">
        <v>411</v>
      </c>
      <c r="B433" s="2">
        <v>56719.771093359937</v>
      </c>
      <c r="C433" s="2">
        <v>-15569.771093359937</v>
      </c>
    </row>
    <row r="434" spans="1:3" x14ac:dyDescent="0.35">
      <c r="A434" s="2">
        <v>412</v>
      </c>
      <c r="B434" s="2">
        <v>61290.175041785158</v>
      </c>
      <c r="C434" s="2">
        <v>-20746.175041785158</v>
      </c>
    </row>
    <row r="435" spans="1:3" x14ac:dyDescent="0.35">
      <c r="A435" s="2">
        <v>413</v>
      </c>
      <c r="B435" s="2">
        <v>59766.707058976754</v>
      </c>
      <c r="C435" s="2">
        <v>-23943.707058976754</v>
      </c>
    </row>
    <row r="436" spans="1:3" x14ac:dyDescent="0.35">
      <c r="A436" s="2">
        <v>414</v>
      </c>
      <c r="B436" s="2">
        <v>56719.771093359937</v>
      </c>
      <c r="C436" s="2">
        <v>-1127.7710933599374</v>
      </c>
    </row>
    <row r="437" spans="1:3" x14ac:dyDescent="0.35">
      <c r="A437" s="2">
        <v>415</v>
      </c>
      <c r="B437" s="2">
        <v>56719.771093359937</v>
      </c>
      <c r="C437" s="2">
        <v>-14749.771093359937</v>
      </c>
    </row>
    <row r="438" spans="1:3" x14ac:dyDescent="0.35">
      <c r="A438" s="2">
        <v>416</v>
      </c>
      <c r="B438" s="2">
        <v>59766.707058976754</v>
      </c>
      <c r="C438" s="2">
        <v>-21197.707058976754</v>
      </c>
    </row>
    <row r="439" spans="1:3" x14ac:dyDescent="0.35">
      <c r="A439" s="2">
        <v>417</v>
      </c>
      <c r="B439" s="2">
        <v>61290.175041785158</v>
      </c>
      <c r="C439" s="2">
        <v>10623.824958214842</v>
      </c>
    </row>
    <row r="440" spans="1:3" x14ac:dyDescent="0.35">
      <c r="A440" s="2">
        <v>418</v>
      </c>
      <c r="B440" s="2">
        <v>59766.707058976754</v>
      </c>
      <c r="C440" s="2">
        <v>9923.2929410232464</v>
      </c>
    </row>
    <row r="441" spans="1:3" x14ac:dyDescent="0.35">
      <c r="A441" s="2">
        <v>419</v>
      </c>
      <c r="B441" s="2">
        <v>61290.175041785158</v>
      </c>
      <c r="C441" s="2">
        <v>79242.824958214842</v>
      </c>
    </row>
    <row r="442" spans="1:3" x14ac:dyDescent="0.35">
      <c r="A442" s="2">
        <v>420</v>
      </c>
      <c r="B442" s="2">
        <v>59766.707058976754</v>
      </c>
      <c r="C442" s="2">
        <v>11891.292941023246</v>
      </c>
    </row>
    <row r="443" spans="1:3" x14ac:dyDescent="0.35">
      <c r="A443" s="2">
        <v>421</v>
      </c>
      <c r="B443" s="2">
        <v>58243.239076168349</v>
      </c>
      <c r="C443" s="2">
        <v>-20762.239076168349</v>
      </c>
    </row>
    <row r="444" spans="1:3" x14ac:dyDescent="0.35">
      <c r="A444" s="2">
        <v>422</v>
      </c>
      <c r="B444" s="2">
        <v>61290.175041785158</v>
      </c>
      <c r="C444" s="2">
        <v>10232.824958214842</v>
      </c>
    </row>
    <row r="445" spans="1:3" x14ac:dyDescent="0.35">
      <c r="A445" s="2">
        <v>423</v>
      </c>
      <c r="B445" s="2">
        <v>56719.771093359937</v>
      </c>
      <c r="C445" s="2">
        <v>6556.2289066400626</v>
      </c>
    </row>
    <row r="446" spans="1:3" x14ac:dyDescent="0.35">
      <c r="A446" s="2">
        <v>424</v>
      </c>
      <c r="B446" s="2">
        <v>59766.707058976754</v>
      </c>
      <c r="C446" s="2">
        <v>-10591.707058976754</v>
      </c>
    </row>
    <row r="447" spans="1:3" x14ac:dyDescent="0.35">
      <c r="A447" s="2">
        <v>425</v>
      </c>
      <c r="B447" s="2">
        <v>58243.239076168349</v>
      </c>
      <c r="C447" s="2">
        <v>-13657.239076168349</v>
      </c>
    </row>
    <row r="448" spans="1:3" x14ac:dyDescent="0.35">
      <c r="A448" s="2">
        <v>426</v>
      </c>
      <c r="B448" s="2">
        <v>61290.175041785158</v>
      </c>
      <c r="C448" s="2">
        <v>31316.824958214842</v>
      </c>
    </row>
    <row r="449" spans="1:3" x14ac:dyDescent="0.35">
      <c r="A449" s="2">
        <v>427</v>
      </c>
      <c r="B449" s="2">
        <v>61290.175041785158</v>
      </c>
      <c r="C449" s="2">
        <v>-30390.175041785158</v>
      </c>
    </row>
    <row r="450" spans="1:3" x14ac:dyDescent="0.35">
      <c r="A450" s="2">
        <v>428</v>
      </c>
      <c r="B450" s="2">
        <v>58243.239076168349</v>
      </c>
      <c r="C450" s="2">
        <v>-7196.2390761683491</v>
      </c>
    </row>
    <row r="451" spans="1:3" x14ac:dyDescent="0.35">
      <c r="A451" s="2">
        <v>429</v>
      </c>
      <c r="B451" s="2">
        <v>58243.239076168349</v>
      </c>
      <c r="C451" s="2">
        <v>-24278.239076168349</v>
      </c>
    </row>
    <row r="452" spans="1:3" x14ac:dyDescent="0.35">
      <c r="A452" s="2">
        <v>430</v>
      </c>
      <c r="B452" s="2">
        <v>61290.175041785158</v>
      </c>
      <c r="C452" s="2">
        <v>-1784.1750417851581</v>
      </c>
    </row>
    <row r="453" spans="1:3" x14ac:dyDescent="0.35">
      <c r="A453" s="2">
        <v>431</v>
      </c>
      <c r="B453" s="2">
        <v>61290.175041785158</v>
      </c>
      <c r="C453" s="2">
        <v>-29761.175041785158</v>
      </c>
    </row>
    <row r="454" spans="1:3" x14ac:dyDescent="0.35">
      <c r="A454" s="2">
        <v>432</v>
      </c>
      <c r="B454" s="2">
        <v>61290.175041785158</v>
      </c>
      <c r="C454" s="2">
        <v>-3998.1750417851581</v>
      </c>
    </row>
    <row r="455" spans="1:3" x14ac:dyDescent="0.35">
      <c r="A455" s="2">
        <v>433</v>
      </c>
      <c r="B455" s="2">
        <v>59766.707058976754</v>
      </c>
      <c r="C455" s="2">
        <v>-24226.707058976754</v>
      </c>
    </row>
    <row r="456" spans="1:3" x14ac:dyDescent="0.35">
      <c r="A456" s="2">
        <v>434</v>
      </c>
      <c r="B456" s="2">
        <v>59766.707058976754</v>
      </c>
      <c r="C456" s="2">
        <v>-14886.707058976754</v>
      </c>
    </row>
    <row r="457" spans="1:3" x14ac:dyDescent="0.35">
      <c r="A457" s="2">
        <v>435</v>
      </c>
      <c r="B457" s="2">
        <v>58243.239076168349</v>
      </c>
      <c r="C457" s="2">
        <v>-28243.239076168349</v>
      </c>
    </row>
    <row r="458" spans="1:3" x14ac:dyDescent="0.35">
      <c r="A458" s="2">
        <v>436</v>
      </c>
      <c r="B458" s="2">
        <v>59766.707058976754</v>
      </c>
      <c r="C458" s="2">
        <v>-18049.707058976754</v>
      </c>
    </row>
    <row r="459" spans="1:3" x14ac:dyDescent="0.35">
      <c r="A459" s="2">
        <v>437</v>
      </c>
      <c r="B459" s="2">
        <v>59766.707058976754</v>
      </c>
      <c r="C459" s="2">
        <v>-29766.707058976754</v>
      </c>
    </row>
    <row r="460" spans="1:3" x14ac:dyDescent="0.35">
      <c r="A460" s="2">
        <v>438</v>
      </c>
      <c r="B460" s="2">
        <v>58243.239076168349</v>
      </c>
      <c r="C460" s="2">
        <v>-28243.239076168349</v>
      </c>
    </row>
    <row r="461" spans="1:3" x14ac:dyDescent="0.35">
      <c r="A461" s="2">
        <v>439</v>
      </c>
      <c r="B461" s="2">
        <v>61290.175041785158</v>
      </c>
      <c r="C461" s="2">
        <v>45758.824958214842</v>
      </c>
    </row>
    <row r="462" spans="1:3" x14ac:dyDescent="0.35">
      <c r="A462" s="2">
        <v>440</v>
      </c>
      <c r="B462" s="2">
        <v>59766.707058976754</v>
      </c>
      <c r="C462" s="2">
        <v>12439.292941023246</v>
      </c>
    </row>
    <row r="463" spans="1:3" x14ac:dyDescent="0.35">
      <c r="A463" s="2">
        <v>441</v>
      </c>
      <c r="B463" s="2">
        <v>61290.175041785158</v>
      </c>
      <c r="C463" s="2">
        <v>-13066.175041785158</v>
      </c>
    </row>
    <row r="464" spans="1:3" x14ac:dyDescent="0.35">
      <c r="A464" s="2">
        <v>442</v>
      </c>
      <c r="B464" s="2">
        <v>58243.239076168349</v>
      </c>
      <c r="C464" s="2">
        <v>-586.23907616834913</v>
      </c>
    </row>
    <row r="465" spans="1:3" x14ac:dyDescent="0.35">
      <c r="A465" s="2">
        <v>443</v>
      </c>
      <c r="B465" s="2">
        <v>61290.175041785158</v>
      </c>
      <c r="C465" s="2">
        <v>-15102.175041785158</v>
      </c>
    </row>
    <row r="466" spans="1:3" x14ac:dyDescent="0.35">
      <c r="A466" s="2">
        <v>444</v>
      </c>
      <c r="B466" s="2">
        <v>59766.707058976754</v>
      </c>
      <c r="C466" s="2">
        <v>-27113.707058976754</v>
      </c>
    </row>
    <row r="467" spans="1:3" x14ac:dyDescent="0.35">
      <c r="A467" s="2">
        <v>445</v>
      </c>
      <c r="B467" s="2">
        <v>56719.771093359937</v>
      </c>
      <c r="C467" s="2">
        <v>-26719.771093359937</v>
      </c>
    </row>
    <row r="468" spans="1:3" x14ac:dyDescent="0.35">
      <c r="A468" s="2">
        <v>446</v>
      </c>
      <c r="B468" s="2">
        <v>58243.239076168349</v>
      </c>
      <c r="C468" s="2">
        <v>92856.760923831651</v>
      </c>
    </row>
    <row r="469" spans="1:3" x14ac:dyDescent="0.35">
      <c r="A469" s="2">
        <v>447</v>
      </c>
      <c r="B469" s="2">
        <v>61290.175041785158</v>
      </c>
      <c r="C469" s="2">
        <v>-26263.175041785158</v>
      </c>
    </row>
    <row r="470" spans="1:3" x14ac:dyDescent="0.35">
      <c r="A470" s="2">
        <v>448</v>
      </c>
      <c r="B470" s="2">
        <v>61290.175041785158</v>
      </c>
      <c r="C470" s="2">
        <v>21308.824958214842</v>
      </c>
    </row>
    <row r="471" spans="1:3" x14ac:dyDescent="0.35">
      <c r="A471" s="2">
        <v>449</v>
      </c>
      <c r="B471" s="2">
        <v>61290.175041785158</v>
      </c>
      <c r="C471" s="2">
        <v>30787.824958214842</v>
      </c>
    </row>
    <row r="472" spans="1:3" x14ac:dyDescent="0.35">
      <c r="A472" s="2">
        <v>450</v>
      </c>
      <c r="B472" s="2">
        <v>59766.707058976754</v>
      </c>
      <c r="C472" s="2">
        <v>-29766.707058976754</v>
      </c>
    </row>
    <row r="473" spans="1:3" x14ac:dyDescent="0.35">
      <c r="A473" s="2">
        <v>451</v>
      </c>
      <c r="B473" s="2">
        <v>58243.239076168349</v>
      </c>
      <c r="C473" s="2">
        <v>-5222.2390761683491</v>
      </c>
    </row>
    <row r="474" spans="1:3" x14ac:dyDescent="0.35">
      <c r="A474" s="2">
        <v>452</v>
      </c>
      <c r="B474" s="2">
        <v>59766.707058976754</v>
      </c>
      <c r="C474" s="2">
        <v>-10130.707058976754</v>
      </c>
    </row>
    <row r="475" spans="1:3" x14ac:dyDescent="0.35">
      <c r="A475" s="2">
        <v>453</v>
      </c>
      <c r="B475" s="2">
        <v>59766.707058976754</v>
      </c>
      <c r="C475" s="2">
        <v>-20354.707058976754</v>
      </c>
    </row>
    <row r="476" spans="1:3" x14ac:dyDescent="0.35">
      <c r="A476" s="2">
        <v>454</v>
      </c>
      <c r="B476" s="2">
        <v>59766.707058976754</v>
      </c>
      <c r="C476" s="2">
        <v>6440.2929410232464</v>
      </c>
    </row>
    <row r="477" spans="1:3" x14ac:dyDescent="0.35">
      <c r="A477" s="2">
        <v>455</v>
      </c>
      <c r="B477" s="2">
        <v>56719.771093359937</v>
      </c>
      <c r="C477" s="2">
        <v>-3609.7710933599374</v>
      </c>
    </row>
    <row r="478" spans="1:3" x14ac:dyDescent="0.35">
      <c r="A478" s="2">
        <v>456</v>
      </c>
      <c r="B478" s="2">
        <v>62813.643024593563</v>
      </c>
      <c r="C478" s="2">
        <v>-31727.643024593563</v>
      </c>
    </row>
    <row r="479" spans="1:3" x14ac:dyDescent="0.35">
      <c r="A479" s="2">
        <v>457</v>
      </c>
      <c r="B479" s="2">
        <v>59766.707058976754</v>
      </c>
      <c r="C479" s="2">
        <v>10016.292941023246</v>
      </c>
    </row>
    <row r="480" spans="1:3" x14ac:dyDescent="0.35">
      <c r="A480" s="2">
        <v>458</v>
      </c>
      <c r="B480" s="2">
        <v>56719.771093359937</v>
      </c>
      <c r="C480" s="2">
        <v>12984.228906640063</v>
      </c>
    </row>
    <row r="481" spans="1:3" x14ac:dyDescent="0.35">
      <c r="A481" s="2">
        <v>459</v>
      </c>
      <c r="B481" s="2">
        <v>59766.707058976754</v>
      </c>
      <c r="C481" s="2">
        <v>-4559.7070589767536</v>
      </c>
    </row>
    <row r="482" spans="1:3" x14ac:dyDescent="0.35">
      <c r="A482" s="2">
        <v>460</v>
      </c>
      <c r="B482" s="2">
        <v>62813.643024593563</v>
      </c>
      <c r="C482" s="2">
        <v>-19170.643024593563</v>
      </c>
    </row>
    <row r="483" spans="1:3" x14ac:dyDescent="0.35">
      <c r="A483" s="2">
        <v>461</v>
      </c>
      <c r="B483" s="2">
        <v>59766.707058976754</v>
      </c>
      <c r="C483" s="2">
        <v>-29766.707058976754</v>
      </c>
    </row>
    <row r="484" spans="1:3" x14ac:dyDescent="0.35">
      <c r="A484" s="2">
        <v>462</v>
      </c>
      <c r="B484" s="2">
        <v>61290.175041785158</v>
      </c>
      <c r="C484" s="2">
        <v>30952.824958214842</v>
      </c>
    </row>
    <row r="485" spans="1:3" x14ac:dyDescent="0.35">
      <c r="A485" s="2">
        <v>463</v>
      </c>
      <c r="B485" s="2">
        <v>61290.175041785158</v>
      </c>
      <c r="C485" s="2">
        <v>-13234.175041785158</v>
      </c>
    </row>
    <row r="486" spans="1:3" x14ac:dyDescent="0.35">
      <c r="A486" s="2">
        <v>464</v>
      </c>
      <c r="B486" s="2">
        <v>62813.643024593563</v>
      </c>
      <c r="C486" s="2">
        <v>36661.356975406437</v>
      </c>
    </row>
    <row r="487" spans="1:3" x14ac:dyDescent="0.35">
      <c r="A487" s="2">
        <v>465</v>
      </c>
      <c r="B487" s="2">
        <v>58243.239076168349</v>
      </c>
      <c r="C487" s="2">
        <v>-28243.239076168349</v>
      </c>
    </row>
    <row r="488" spans="1:3" x14ac:dyDescent="0.35">
      <c r="A488" s="2">
        <v>466</v>
      </c>
      <c r="B488" s="2">
        <v>61290.175041785158</v>
      </c>
      <c r="C488" s="2">
        <v>13691.824958214842</v>
      </c>
    </row>
    <row r="489" spans="1:3" x14ac:dyDescent="0.35">
      <c r="A489" s="2">
        <v>467</v>
      </c>
      <c r="B489" s="2">
        <v>58243.239076168349</v>
      </c>
      <c r="C489" s="2">
        <v>-15829.239076168349</v>
      </c>
    </row>
    <row r="490" spans="1:3" x14ac:dyDescent="0.35">
      <c r="A490" s="2">
        <v>468</v>
      </c>
      <c r="B490" s="2">
        <v>59766.707058976754</v>
      </c>
      <c r="C490" s="2">
        <v>-28219.707058976754</v>
      </c>
    </row>
    <row r="491" spans="1:3" x14ac:dyDescent="0.35">
      <c r="A491" s="2">
        <v>469</v>
      </c>
      <c r="B491" s="2">
        <v>58243.239076168349</v>
      </c>
      <c r="C491" s="2">
        <v>16788.760923831651</v>
      </c>
    </row>
    <row r="492" spans="1:3" x14ac:dyDescent="0.35">
      <c r="A492" s="2">
        <v>470</v>
      </c>
      <c r="B492" s="2">
        <v>58243.239076168349</v>
      </c>
      <c r="C492" s="2">
        <v>-2234.2390761683491</v>
      </c>
    </row>
    <row r="493" spans="1:3" x14ac:dyDescent="0.35">
      <c r="A493" s="2">
        <v>471</v>
      </c>
      <c r="B493" s="2">
        <v>59766.707058976754</v>
      </c>
      <c r="C493" s="2">
        <v>-20920.707058976754</v>
      </c>
    </row>
    <row r="494" spans="1:3" x14ac:dyDescent="0.35">
      <c r="A494" s="2">
        <v>472</v>
      </c>
      <c r="B494" s="2">
        <v>61290.175041785158</v>
      </c>
      <c r="C494" s="2">
        <v>-14801.175041785158</v>
      </c>
    </row>
    <row r="495" spans="1:3" x14ac:dyDescent="0.35">
      <c r="A495" s="2">
        <v>473</v>
      </c>
      <c r="B495" s="2">
        <v>62813.643024593563</v>
      </c>
      <c r="C495" s="2">
        <v>-32813.643024593563</v>
      </c>
    </row>
    <row r="496" spans="1:3" x14ac:dyDescent="0.35">
      <c r="A496" s="2">
        <v>474</v>
      </c>
      <c r="B496" s="2">
        <v>59766.707058976754</v>
      </c>
      <c r="C496" s="2">
        <v>-4674.7070589767536</v>
      </c>
    </row>
    <row r="497" spans="1:3" x14ac:dyDescent="0.35">
      <c r="A497" s="2">
        <v>475</v>
      </c>
      <c r="B497" s="2">
        <v>59766.707058976754</v>
      </c>
      <c r="C497" s="2">
        <v>63196.292941023246</v>
      </c>
    </row>
    <row r="498" spans="1:3" x14ac:dyDescent="0.35">
      <c r="A498" s="2">
        <v>476</v>
      </c>
      <c r="B498" s="2">
        <v>62813.643024593563</v>
      </c>
      <c r="C498" s="2">
        <v>-32813.643024593563</v>
      </c>
    </row>
    <row r="499" spans="1:3" x14ac:dyDescent="0.35">
      <c r="A499" s="2">
        <v>477</v>
      </c>
      <c r="B499" s="2">
        <v>59766.707058976754</v>
      </c>
      <c r="C499" s="2">
        <v>-28936.707058976754</v>
      </c>
    </row>
    <row r="500" spans="1:3" x14ac:dyDescent="0.35">
      <c r="A500" s="2">
        <v>478</v>
      </c>
      <c r="B500" s="2">
        <v>59766.707058976754</v>
      </c>
      <c r="C500" s="2">
        <v>-29766.707058976754</v>
      </c>
    </row>
    <row r="501" spans="1:3" x14ac:dyDescent="0.35">
      <c r="A501" s="2">
        <v>479</v>
      </c>
      <c r="B501" s="2">
        <v>59766.707058976754</v>
      </c>
      <c r="C501" s="2">
        <v>28044.292941023246</v>
      </c>
    </row>
    <row r="502" spans="1:3" x14ac:dyDescent="0.35">
      <c r="A502" s="2">
        <v>480</v>
      </c>
      <c r="B502" s="2">
        <v>58243.239076168349</v>
      </c>
      <c r="C502" s="2">
        <v>80378.760923831651</v>
      </c>
    </row>
    <row r="503" spans="1:3" x14ac:dyDescent="0.35">
      <c r="A503" s="2">
        <v>481</v>
      </c>
      <c r="B503" s="2">
        <v>62813.643024593563</v>
      </c>
      <c r="C503" s="2">
        <v>-12744.643024593563</v>
      </c>
    </row>
    <row r="504" spans="1:3" x14ac:dyDescent="0.35">
      <c r="A504" s="2">
        <v>482</v>
      </c>
      <c r="B504" s="2">
        <v>59766.707058976754</v>
      </c>
      <c r="C504" s="2">
        <v>120566.29294102325</v>
      </c>
    </row>
    <row r="505" spans="1:3" x14ac:dyDescent="0.35">
      <c r="A505" s="2">
        <v>483</v>
      </c>
      <c r="B505" s="2">
        <v>58243.239076168349</v>
      </c>
      <c r="C505" s="2">
        <v>-28243.239076168349</v>
      </c>
    </row>
    <row r="506" spans="1:3" x14ac:dyDescent="0.35">
      <c r="A506" s="2">
        <v>484</v>
      </c>
      <c r="B506" s="2">
        <v>58243.239076168349</v>
      </c>
      <c r="C506" s="2">
        <v>16885.760923831651</v>
      </c>
    </row>
    <row r="507" spans="1:3" x14ac:dyDescent="0.35">
      <c r="A507" s="2">
        <v>485</v>
      </c>
      <c r="B507" s="2">
        <v>58243.239076168349</v>
      </c>
      <c r="C507" s="2">
        <v>68063.760923831651</v>
      </c>
    </row>
    <row r="508" spans="1:3" x14ac:dyDescent="0.35">
      <c r="A508" s="2">
        <v>486</v>
      </c>
      <c r="B508" s="2">
        <v>56719.771093359937</v>
      </c>
      <c r="C508" s="2">
        <v>-16271.771093359937</v>
      </c>
    </row>
    <row r="509" spans="1:3" x14ac:dyDescent="0.35">
      <c r="A509" s="2">
        <v>487</v>
      </c>
      <c r="B509" s="2">
        <v>59766.707058976754</v>
      </c>
      <c r="C509" s="2">
        <v>-29766.707058976754</v>
      </c>
    </row>
    <row r="510" spans="1:3" x14ac:dyDescent="0.35">
      <c r="A510" s="2">
        <v>488</v>
      </c>
      <c r="B510" s="2">
        <v>61290.175041785158</v>
      </c>
      <c r="C510" s="2">
        <v>25553.824958214842</v>
      </c>
    </row>
    <row r="511" spans="1:3" x14ac:dyDescent="0.35">
      <c r="A511" s="2">
        <v>489</v>
      </c>
      <c r="B511" s="2">
        <v>61290.175041785158</v>
      </c>
      <c r="C511" s="2">
        <v>-4508.1750417851581</v>
      </c>
    </row>
    <row r="512" spans="1:3" x14ac:dyDescent="0.35">
      <c r="A512" s="2">
        <v>490</v>
      </c>
      <c r="B512" s="2">
        <v>61290.175041785158</v>
      </c>
      <c r="C512" s="2">
        <v>-31290.175041785158</v>
      </c>
    </row>
    <row r="513" spans="1:3" x14ac:dyDescent="0.35">
      <c r="A513" s="2">
        <v>491</v>
      </c>
      <c r="B513" s="2">
        <v>59766.707058976754</v>
      </c>
      <c r="C513" s="2">
        <v>5574.2929410232464</v>
      </c>
    </row>
    <row r="514" spans="1:3" x14ac:dyDescent="0.35">
      <c r="A514" s="2">
        <v>492</v>
      </c>
      <c r="B514" s="2">
        <v>58243.239076168349</v>
      </c>
      <c r="C514" s="2">
        <v>36531.760923831651</v>
      </c>
    </row>
    <row r="515" spans="1:3" x14ac:dyDescent="0.35">
      <c r="A515" s="2">
        <v>493</v>
      </c>
      <c r="B515" s="2">
        <v>61290.175041785158</v>
      </c>
      <c r="C515" s="2">
        <v>6956.8249582148419</v>
      </c>
    </row>
    <row r="516" spans="1:3" x14ac:dyDescent="0.35">
      <c r="A516" s="2">
        <v>494</v>
      </c>
      <c r="B516" s="2">
        <v>56719.771093359937</v>
      </c>
      <c r="C516" s="2">
        <v>13981.228906640063</v>
      </c>
    </row>
    <row r="517" spans="1:3" x14ac:dyDescent="0.35">
      <c r="A517" s="2">
        <v>495</v>
      </c>
      <c r="B517" s="2">
        <v>59766.707058976754</v>
      </c>
      <c r="C517" s="2">
        <v>36572.292941023246</v>
      </c>
    </row>
    <row r="518" spans="1:3" x14ac:dyDescent="0.35">
      <c r="A518" s="2">
        <v>496</v>
      </c>
      <c r="B518" s="2">
        <v>59766.707058976754</v>
      </c>
      <c r="C518" s="2">
        <v>-29766.707058976754</v>
      </c>
    </row>
    <row r="519" spans="1:3" x14ac:dyDescent="0.35">
      <c r="A519" s="2">
        <v>497</v>
      </c>
      <c r="B519" s="2">
        <v>59766.707058976754</v>
      </c>
      <c r="C519" s="2">
        <v>179804.29294102325</v>
      </c>
    </row>
    <row r="520" spans="1:3" x14ac:dyDescent="0.35">
      <c r="A520" s="2">
        <v>498</v>
      </c>
      <c r="B520" s="2">
        <v>58243.239076168349</v>
      </c>
      <c r="C520" s="2">
        <v>-17843.239076168349</v>
      </c>
    </row>
    <row r="521" spans="1:3" x14ac:dyDescent="0.35">
      <c r="A521" s="2">
        <v>499</v>
      </c>
      <c r="B521" s="2">
        <v>58243.239076168349</v>
      </c>
      <c r="C521" s="2">
        <v>113787.76092383165</v>
      </c>
    </row>
    <row r="522" spans="1:3" x14ac:dyDescent="0.35">
      <c r="A522" s="2">
        <v>500</v>
      </c>
      <c r="B522" s="2">
        <v>61290.175041785158</v>
      </c>
      <c r="C522" s="2">
        <v>-31290.175041785158</v>
      </c>
    </row>
    <row r="523" spans="1:3" x14ac:dyDescent="0.35">
      <c r="A523" s="2">
        <v>501</v>
      </c>
      <c r="B523" s="2">
        <v>59766.707058976754</v>
      </c>
      <c r="C523" s="2">
        <v>48994.292941023246</v>
      </c>
    </row>
    <row r="524" spans="1:3" x14ac:dyDescent="0.35">
      <c r="A524" s="2">
        <v>502</v>
      </c>
      <c r="B524" s="2">
        <v>56719.771093359937</v>
      </c>
      <c r="C524" s="2">
        <v>157162.22890664006</v>
      </c>
    </row>
    <row r="525" spans="1:3" x14ac:dyDescent="0.35">
      <c r="A525" s="2">
        <v>503</v>
      </c>
      <c r="B525" s="2">
        <v>58243.239076168349</v>
      </c>
      <c r="C525" s="2">
        <v>92913.760923831651</v>
      </c>
    </row>
    <row r="526" spans="1:3" x14ac:dyDescent="0.35">
      <c r="A526" s="2">
        <v>504</v>
      </c>
      <c r="B526" s="2">
        <v>59766.707058976754</v>
      </c>
      <c r="C526" s="2">
        <v>23431.292941023246</v>
      </c>
    </row>
    <row r="527" spans="1:3" x14ac:dyDescent="0.35">
      <c r="A527" s="2">
        <v>505</v>
      </c>
      <c r="B527" s="2">
        <v>58243.239076168349</v>
      </c>
      <c r="C527" s="2">
        <v>-28243.239076168349</v>
      </c>
    </row>
    <row r="528" spans="1:3" x14ac:dyDescent="0.35">
      <c r="A528" s="2">
        <v>506</v>
      </c>
      <c r="B528" s="2">
        <v>59766.707058976754</v>
      </c>
      <c r="C528" s="2">
        <v>-16933.707058976754</v>
      </c>
    </row>
    <row r="529" spans="1:3" x14ac:dyDescent="0.35">
      <c r="A529" s="2">
        <v>507</v>
      </c>
      <c r="B529" s="2">
        <v>62813.643024593563</v>
      </c>
      <c r="C529" s="2">
        <v>82618.356975406437</v>
      </c>
    </row>
    <row r="530" spans="1:3" x14ac:dyDescent="0.35">
      <c r="A530" s="2">
        <v>508</v>
      </c>
      <c r="B530" s="2">
        <v>62813.643024593563</v>
      </c>
      <c r="C530" s="2">
        <v>-6396.6430245935626</v>
      </c>
    </row>
    <row r="531" spans="1:3" x14ac:dyDescent="0.35">
      <c r="A531" s="2">
        <v>509</v>
      </c>
      <c r="B531" s="2">
        <v>61290.175041785158</v>
      </c>
      <c r="C531" s="2">
        <v>-20372.175041785158</v>
      </c>
    </row>
    <row r="532" spans="1:3" x14ac:dyDescent="0.35">
      <c r="A532" s="2">
        <v>510</v>
      </c>
      <c r="B532" s="2">
        <v>61290.175041785158</v>
      </c>
      <c r="C532" s="2">
        <v>-31290.175041785158</v>
      </c>
    </row>
    <row r="533" spans="1:3" x14ac:dyDescent="0.35">
      <c r="A533" s="2">
        <v>511</v>
      </c>
      <c r="B533" s="2">
        <v>59766.707058976754</v>
      </c>
      <c r="C533" s="2">
        <v>-29766.707058976754</v>
      </c>
    </row>
    <row r="534" spans="1:3" x14ac:dyDescent="0.35">
      <c r="A534" s="2">
        <v>512</v>
      </c>
      <c r="B534" s="2">
        <v>59766.707058976754</v>
      </c>
      <c r="C534" s="2">
        <v>34272.292941023246</v>
      </c>
    </row>
    <row r="535" spans="1:3" x14ac:dyDescent="0.35">
      <c r="A535" s="2">
        <v>513</v>
      </c>
      <c r="B535" s="2">
        <v>61290.175041785158</v>
      </c>
      <c r="C535" s="2">
        <v>-31290.175041785158</v>
      </c>
    </row>
    <row r="536" spans="1:3" x14ac:dyDescent="0.35">
      <c r="A536" s="2">
        <v>514</v>
      </c>
      <c r="B536" s="2">
        <v>61290.175041785158</v>
      </c>
      <c r="C536" s="2">
        <v>-2290.1750417851581</v>
      </c>
    </row>
    <row r="537" spans="1:3" x14ac:dyDescent="0.35">
      <c r="A537" s="2">
        <v>515</v>
      </c>
      <c r="B537" s="2">
        <v>61290.175041785158</v>
      </c>
      <c r="C537" s="2">
        <v>3392.8249582148419</v>
      </c>
    </row>
    <row r="538" spans="1:3" x14ac:dyDescent="0.35">
      <c r="A538" s="2">
        <v>516</v>
      </c>
      <c r="B538" s="2">
        <v>61290.175041785158</v>
      </c>
      <c r="C538" s="2">
        <v>18445.824958214842</v>
      </c>
    </row>
    <row r="539" spans="1:3" x14ac:dyDescent="0.35">
      <c r="A539" s="2">
        <v>517</v>
      </c>
      <c r="B539" s="2">
        <v>59766.707058976754</v>
      </c>
      <c r="C539" s="2">
        <v>11586.292941023246</v>
      </c>
    </row>
    <row r="540" spans="1:3" x14ac:dyDescent="0.35">
      <c r="A540" s="2">
        <v>518</v>
      </c>
      <c r="B540" s="2">
        <v>59766.707058976754</v>
      </c>
      <c r="C540" s="2">
        <v>-29766.707058976754</v>
      </c>
    </row>
    <row r="541" spans="1:3" x14ac:dyDescent="0.35">
      <c r="A541" s="2">
        <v>519</v>
      </c>
      <c r="B541" s="2">
        <v>56719.771093359937</v>
      </c>
      <c r="C541" s="2">
        <v>-1564.7710933599374</v>
      </c>
    </row>
    <row r="542" spans="1:3" x14ac:dyDescent="0.35">
      <c r="A542" s="2">
        <v>520</v>
      </c>
      <c r="B542" s="2">
        <v>62813.643024593563</v>
      </c>
      <c r="C542" s="2">
        <v>-7248.6430245935626</v>
      </c>
    </row>
    <row r="543" spans="1:3" x14ac:dyDescent="0.35">
      <c r="A543" s="2">
        <v>521</v>
      </c>
      <c r="B543" s="2">
        <v>59766.707058976754</v>
      </c>
      <c r="C543" s="2">
        <v>-19359.707058976754</v>
      </c>
    </row>
    <row r="544" spans="1:3" x14ac:dyDescent="0.35">
      <c r="A544" s="2">
        <v>522</v>
      </c>
      <c r="B544" s="2">
        <v>59766.707058976754</v>
      </c>
      <c r="C544" s="2">
        <v>26891.292941023246</v>
      </c>
    </row>
    <row r="545" spans="1:3" x14ac:dyDescent="0.35">
      <c r="A545" s="2">
        <v>523</v>
      </c>
      <c r="B545" s="2">
        <v>59766.707058976754</v>
      </c>
      <c r="C545" s="2">
        <v>-29766.707058976754</v>
      </c>
    </row>
    <row r="546" spans="1:3" x14ac:dyDescent="0.35">
      <c r="A546" s="2">
        <v>524</v>
      </c>
      <c r="B546" s="2">
        <v>59766.707058976754</v>
      </c>
      <c r="C546" s="2">
        <v>-2215.7070589767536</v>
      </c>
    </row>
    <row r="547" spans="1:3" x14ac:dyDescent="0.35">
      <c r="A547" s="2">
        <v>525</v>
      </c>
      <c r="B547" s="2">
        <v>61290.175041785158</v>
      </c>
      <c r="C547" s="2">
        <v>-11417.175041785158</v>
      </c>
    </row>
    <row r="548" spans="1:3" x14ac:dyDescent="0.35">
      <c r="A548" s="2">
        <v>526</v>
      </c>
      <c r="B548" s="2">
        <v>61290.175041785158</v>
      </c>
      <c r="C548" s="2">
        <v>-24711.175041785158</v>
      </c>
    </row>
    <row r="549" spans="1:3" x14ac:dyDescent="0.35">
      <c r="A549" s="2">
        <v>527</v>
      </c>
      <c r="B549" s="2">
        <v>61290.175041785158</v>
      </c>
      <c r="C549" s="2">
        <v>59569.824958214842</v>
      </c>
    </row>
    <row r="550" spans="1:3" x14ac:dyDescent="0.35">
      <c r="A550" s="2">
        <v>528</v>
      </c>
      <c r="B550" s="2">
        <v>62813.643024593563</v>
      </c>
      <c r="C550" s="2">
        <v>56169.356975406437</v>
      </c>
    </row>
    <row r="551" spans="1:3" x14ac:dyDescent="0.35">
      <c r="A551" s="2">
        <v>529</v>
      </c>
      <c r="B551" s="2">
        <v>61290.175041785158</v>
      </c>
      <c r="C551" s="2">
        <v>-31290.175041785158</v>
      </c>
    </row>
    <row r="552" spans="1:3" x14ac:dyDescent="0.35">
      <c r="A552" s="2">
        <v>530</v>
      </c>
      <c r="B552" s="2">
        <v>59766.707058976754</v>
      </c>
      <c r="C552" s="2">
        <v>-29766.707058976754</v>
      </c>
    </row>
    <row r="553" spans="1:3" x14ac:dyDescent="0.35">
      <c r="A553" s="2">
        <v>531</v>
      </c>
      <c r="B553" s="2">
        <v>61290.175041785158</v>
      </c>
      <c r="C553" s="2">
        <v>27819.824958214842</v>
      </c>
    </row>
    <row r="554" spans="1:3" x14ac:dyDescent="0.35">
      <c r="A554" s="2">
        <v>532</v>
      </c>
      <c r="B554" s="2">
        <v>59766.707058976754</v>
      </c>
      <c r="C554" s="2">
        <v>21064.292941023246</v>
      </c>
    </row>
    <row r="555" spans="1:3" x14ac:dyDescent="0.35">
      <c r="A555" s="2">
        <v>533</v>
      </c>
      <c r="B555" s="2">
        <v>58243.239076168349</v>
      </c>
      <c r="C555" s="2">
        <v>28921.760923831651</v>
      </c>
    </row>
    <row r="556" spans="1:3" x14ac:dyDescent="0.35">
      <c r="A556" s="2">
        <v>534</v>
      </c>
      <c r="B556" s="2">
        <v>61290.175041785158</v>
      </c>
      <c r="C556" s="2">
        <v>53006.824958214842</v>
      </c>
    </row>
    <row r="557" spans="1:3" x14ac:dyDescent="0.35">
      <c r="A557" s="2">
        <v>535</v>
      </c>
      <c r="B557" s="2">
        <v>58243.239076168349</v>
      </c>
      <c r="C557" s="2">
        <v>-28243.239076168349</v>
      </c>
    </row>
    <row r="558" spans="1:3" x14ac:dyDescent="0.35">
      <c r="A558" s="2">
        <v>536</v>
      </c>
      <c r="B558" s="2">
        <v>62813.643024593563</v>
      </c>
      <c r="C558" s="2">
        <v>88026.356975406437</v>
      </c>
    </row>
    <row r="559" spans="1:3" x14ac:dyDescent="0.35">
      <c r="A559" s="2">
        <v>537</v>
      </c>
      <c r="B559" s="2">
        <v>58243.239076168349</v>
      </c>
      <c r="C559" s="2">
        <v>-28243.239076168349</v>
      </c>
    </row>
    <row r="560" spans="1:3" x14ac:dyDescent="0.35">
      <c r="A560" s="2">
        <v>538</v>
      </c>
      <c r="B560" s="2">
        <v>59766.707058976754</v>
      </c>
      <c r="C560" s="2">
        <v>64562.292941023246</v>
      </c>
    </row>
    <row r="561" spans="1:3" x14ac:dyDescent="0.35">
      <c r="A561" s="2">
        <v>539</v>
      </c>
      <c r="B561" s="2">
        <v>61290.175041785158</v>
      </c>
      <c r="C561" s="2">
        <v>24649.824958214842</v>
      </c>
    </row>
    <row r="562" spans="1:3" x14ac:dyDescent="0.35">
      <c r="A562" s="2">
        <v>540</v>
      </c>
      <c r="B562" s="2">
        <v>61290.175041785158</v>
      </c>
      <c r="C562" s="2">
        <v>-18694.175041785158</v>
      </c>
    </row>
    <row r="563" spans="1:3" x14ac:dyDescent="0.35">
      <c r="A563" s="2">
        <v>541</v>
      </c>
      <c r="B563" s="2">
        <v>62813.643024593563</v>
      </c>
      <c r="C563" s="2">
        <v>-27464.643024593563</v>
      </c>
    </row>
    <row r="564" spans="1:3" x14ac:dyDescent="0.35">
      <c r="A564" s="2">
        <v>542</v>
      </c>
      <c r="B564" s="2">
        <v>59766.707058976754</v>
      </c>
      <c r="C564" s="2">
        <v>-19055.707058976754</v>
      </c>
    </row>
    <row r="565" spans="1:3" x14ac:dyDescent="0.35">
      <c r="A565" s="2">
        <v>543</v>
      </c>
      <c r="B565" s="2">
        <v>56719.771093359937</v>
      </c>
      <c r="C565" s="2">
        <v>73524.228906640055</v>
      </c>
    </row>
    <row r="566" spans="1:3" x14ac:dyDescent="0.35">
      <c r="A566" s="2">
        <v>544</v>
      </c>
      <c r="B566" s="2">
        <v>58243.239076168349</v>
      </c>
      <c r="C566" s="2">
        <v>-10975.239076168349</v>
      </c>
    </row>
    <row r="567" spans="1:3" x14ac:dyDescent="0.35">
      <c r="A567" s="2">
        <v>545</v>
      </c>
      <c r="B567" s="2">
        <v>58243.239076168349</v>
      </c>
      <c r="C567" s="2">
        <v>-12639.239076168349</v>
      </c>
    </row>
    <row r="568" spans="1:3" x14ac:dyDescent="0.35">
      <c r="A568" s="2">
        <v>546</v>
      </c>
      <c r="B568" s="2">
        <v>59766.707058976754</v>
      </c>
      <c r="C568" s="2">
        <v>-29766.707058976754</v>
      </c>
    </row>
    <row r="569" spans="1:3" x14ac:dyDescent="0.35">
      <c r="A569" s="2">
        <v>547</v>
      </c>
      <c r="B569" s="2">
        <v>58243.239076168349</v>
      </c>
      <c r="C569" s="2">
        <v>-7295.2390761683491</v>
      </c>
    </row>
    <row r="570" spans="1:3" x14ac:dyDescent="0.35">
      <c r="A570" s="2">
        <v>548</v>
      </c>
      <c r="B570" s="2">
        <v>61290.175041785158</v>
      </c>
      <c r="C570" s="2">
        <v>-27205.175041785158</v>
      </c>
    </row>
    <row r="571" spans="1:3" x14ac:dyDescent="0.35">
      <c r="A571" s="2">
        <v>549</v>
      </c>
      <c r="B571" s="2">
        <v>62813.643024593563</v>
      </c>
      <c r="C571" s="2">
        <v>-19974.643024593563</v>
      </c>
    </row>
    <row r="572" spans="1:3" x14ac:dyDescent="0.35">
      <c r="A572" s="2">
        <v>550</v>
      </c>
      <c r="B572" s="2">
        <v>56719.771093359937</v>
      </c>
      <c r="C572" s="2">
        <v>25689.228906640063</v>
      </c>
    </row>
    <row r="573" spans="1:3" x14ac:dyDescent="0.35">
      <c r="A573" s="2">
        <v>551</v>
      </c>
      <c r="B573" s="2">
        <v>56719.771093359937</v>
      </c>
      <c r="C573" s="2">
        <v>15188.228906640063</v>
      </c>
    </row>
    <row r="574" spans="1:3" x14ac:dyDescent="0.35">
      <c r="A574" s="2">
        <v>552</v>
      </c>
      <c r="B574" s="2">
        <v>58243.239076168349</v>
      </c>
      <c r="C574" s="2">
        <v>-8762.2390761683491</v>
      </c>
    </row>
    <row r="575" spans="1:3" x14ac:dyDescent="0.35">
      <c r="A575" s="2">
        <v>553</v>
      </c>
      <c r="B575" s="2">
        <v>58243.239076168349</v>
      </c>
      <c r="C575" s="2">
        <v>-2606.2390761683491</v>
      </c>
    </row>
    <row r="576" spans="1:3" x14ac:dyDescent="0.35">
      <c r="A576" s="2">
        <v>554</v>
      </c>
      <c r="B576" s="2">
        <v>58243.239076168349</v>
      </c>
      <c r="C576" s="2">
        <v>1670.7609238316509</v>
      </c>
    </row>
    <row r="577" spans="1:3" x14ac:dyDescent="0.35">
      <c r="A577" s="2">
        <v>555</v>
      </c>
      <c r="B577" s="2">
        <v>56719.771093359937</v>
      </c>
      <c r="C577" s="2">
        <v>-26719.771093359937</v>
      </c>
    </row>
    <row r="578" spans="1:3" x14ac:dyDescent="0.35">
      <c r="A578" s="2">
        <v>556</v>
      </c>
      <c r="B578" s="2">
        <v>59766.707058976754</v>
      </c>
      <c r="C578" s="2">
        <v>19182.292941023246</v>
      </c>
    </row>
    <row r="579" spans="1:3" x14ac:dyDescent="0.35">
      <c r="A579" s="2">
        <v>557</v>
      </c>
      <c r="B579" s="2">
        <v>56719.771093359937</v>
      </c>
      <c r="C579" s="2">
        <v>10922.228906640063</v>
      </c>
    </row>
    <row r="580" spans="1:3" x14ac:dyDescent="0.35">
      <c r="A580" s="2">
        <v>558</v>
      </c>
      <c r="B580" s="2">
        <v>61290.175041785158</v>
      </c>
      <c r="C580" s="2">
        <v>-13352.175041785158</v>
      </c>
    </row>
    <row r="581" spans="1:3" x14ac:dyDescent="0.35">
      <c r="A581" s="2">
        <v>559</v>
      </c>
      <c r="B581" s="2">
        <v>58243.239076168349</v>
      </c>
      <c r="C581" s="2">
        <v>-9764.2390761683491</v>
      </c>
    </row>
    <row r="582" spans="1:3" x14ac:dyDescent="0.35">
      <c r="A582" s="2">
        <v>560</v>
      </c>
      <c r="B582" s="2">
        <v>59766.707058976754</v>
      </c>
      <c r="C582" s="2">
        <v>-19722.707058976754</v>
      </c>
    </row>
    <row r="583" spans="1:3" ht="15" thickBot="1" x14ac:dyDescent="0.4">
      <c r="A583" s="3">
        <v>561</v>
      </c>
      <c r="B583" s="3">
        <v>59766.707058976754</v>
      </c>
      <c r="C583" s="3">
        <v>-29766.707058976754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4BB8-F1EE-44BE-82BC-AE33732230B8}">
  <dimension ref="A1:O45"/>
  <sheetViews>
    <sheetView tabSelected="1" zoomScale="86" zoomScaleNormal="86" workbookViewId="0">
      <selection activeCell="F7" sqref="F7"/>
    </sheetView>
  </sheetViews>
  <sheetFormatPr defaultRowHeight="14.5" x14ac:dyDescent="0.35"/>
  <cols>
    <col min="1" max="1" width="17.7265625" customWidth="1"/>
    <col min="4" max="4" width="16.81640625" bestFit="1" customWidth="1"/>
    <col min="8" max="8" width="9.1796875" bestFit="1" customWidth="1"/>
    <col min="9" max="9" width="17.81640625" customWidth="1"/>
    <col min="11" max="11" width="12.36328125" bestFit="1" customWidth="1"/>
    <col min="12" max="12" width="13.08984375" bestFit="1" customWidth="1"/>
    <col min="13" max="13" width="13.90625" bestFit="1" customWidth="1"/>
    <col min="14" max="14" width="11.6328125" bestFit="1" customWidth="1"/>
    <col min="15" max="15" width="15.54296875" bestFit="1" customWidth="1"/>
  </cols>
  <sheetData>
    <row r="1" spans="1:15" ht="15.5" x14ac:dyDescent="0.35">
      <c r="A1" s="19" t="s">
        <v>2299</v>
      </c>
      <c r="B1" s="19"/>
      <c r="C1" s="19"/>
      <c r="D1" s="19"/>
      <c r="E1" s="19"/>
      <c r="F1" s="19"/>
      <c r="G1" s="19"/>
      <c r="H1" s="19"/>
      <c r="I1" s="19"/>
      <c r="J1" s="19"/>
      <c r="K1" s="19"/>
      <c r="L1" s="19"/>
      <c r="M1" s="19"/>
      <c r="N1" s="19"/>
      <c r="O1" s="19"/>
    </row>
    <row r="2" spans="1:15" ht="15.5" x14ac:dyDescent="0.35">
      <c r="A2" s="19" t="s">
        <v>2300</v>
      </c>
      <c r="B2" s="19"/>
      <c r="C2" s="19"/>
      <c r="D2" s="19"/>
      <c r="E2" s="19"/>
      <c r="F2" s="19"/>
      <c r="G2" s="19"/>
      <c r="H2" s="19"/>
      <c r="I2" s="19"/>
      <c r="J2" s="19"/>
      <c r="K2" s="19"/>
      <c r="L2" s="19"/>
      <c r="M2" s="19"/>
      <c r="N2" s="19"/>
      <c r="O2" s="19"/>
    </row>
    <row r="3" spans="1:15" ht="15.5" x14ac:dyDescent="0.35">
      <c r="A3" s="19" t="s">
        <v>2301</v>
      </c>
      <c r="B3" s="19"/>
      <c r="C3" s="19"/>
      <c r="D3" s="19"/>
      <c r="E3" s="19"/>
      <c r="F3" s="19"/>
      <c r="G3" s="19"/>
      <c r="H3" s="19"/>
      <c r="I3" s="19"/>
      <c r="J3" s="19"/>
      <c r="K3" s="19"/>
      <c r="L3" s="19"/>
      <c r="M3" s="19"/>
      <c r="N3" s="19"/>
      <c r="O3" s="19"/>
    </row>
    <row r="4" spans="1:15" ht="15.5" x14ac:dyDescent="0.35">
      <c r="A4" s="19"/>
      <c r="B4" s="19"/>
      <c r="C4" s="19"/>
      <c r="D4" s="19"/>
      <c r="E4" s="19"/>
      <c r="F4" s="19"/>
      <c r="G4" s="19"/>
      <c r="H4" s="19"/>
      <c r="I4" s="19"/>
      <c r="J4" s="19"/>
      <c r="K4" s="19"/>
      <c r="L4" s="19"/>
      <c r="M4" s="19"/>
      <c r="N4" s="19"/>
      <c r="O4" s="19"/>
    </row>
    <row r="26" spans="1:15" x14ac:dyDescent="0.35">
      <c r="I26" t="s">
        <v>2259</v>
      </c>
    </row>
    <row r="27" spans="1:15" x14ac:dyDescent="0.35">
      <c r="I27" t="s">
        <v>2260</v>
      </c>
    </row>
    <row r="28" spans="1:15" ht="16.5" x14ac:dyDescent="0.45">
      <c r="A28" t="s">
        <v>2257</v>
      </c>
      <c r="I28" t="s">
        <v>2261</v>
      </c>
    </row>
    <row r="29" spans="1:15" x14ac:dyDescent="0.35">
      <c r="A29" t="s">
        <v>2258</v>
      </c>
    </row>
    <row r="30" spans="1:15" x14ac:dyDescent="0.35">
      <c r="I30" s="13" t="s">
        <v>2264</v>
      </c>
      <c r="J30" s="13" t="s">
        <v>20</v>
      </c>
      <c r="K30" s="13" t="s">
        <v>40</v>
      </c>
      <c r="L30" s="13" t="s">
        <v>37</v>
      </c>
      <c r="M30" s="13" t="s">
        <v>26</v>
      </c>
      <c r="N30" s="13" t="s">
        <v>16</v>
      </c>
      <c r="O30" s="13" t="s">
        <v>2262</v>
      </c>
    </row>
    <row r="31" spans="1:15" x14ac:dyDescent="0.35">
      <c r="I31" s="11" t="s">
        <v>2153</v>
      </c>
      <c r="J31" s="14">
        <v>29</v>
      </c>
      <c r="K31" s="14">
        <v>29</v>
      </c>
      <c r="L31" s="14">
        <v>29</v>
      </c>
      <c r="M31" s="14">
        <v>46</v>
      </c>
      <c r="N31" s="14">
        <v>28</v>
      </c>
      <c r="O31" s="14">
        <v>161</v>
      </c>
    </row>
    <row r="32" spans="1:15" x14ac:dyDescent="0.35">
      <c r="I32" s="11" t="s">
        <v>2154</v>
      </c>
      <c r="J32" s="14">
        <v>19</v>
      </c>
      <c r="K32" s="14">
        <v>21</v>
      </c>
      <c r="L32" s="14">
        <v>19</v>
      </c>
      <c r="M32" s="14">
        <v>31</v>
      </c>
      <c r="N32" s="14">
        <v>18</v>
      </c>
      <c r="O32" s="14">
        <v>108</v>
      </c>
    </row>
    <row r="33" spans="1:15" x14ac:dyDescent="0.35">
      <c r="I33" s="11" t="s">
        <v>88</v>
      </c>
      <c r="J33" s="14">
        <v>52</v>
      </c>
      <c r="K33" s="14">
        <v>54</v>
      </c>
      <c r="L33" s="14">
        <v>62</v>
      </c>
      <c r="M33" s="14">
        <v>72</v>
      </c>
      <c r="N33" s="14">
        <v>62</v>
      </c>
      <c r="O33" s="14">
        <v>302</v>
      </c>
    </row>
    <row r="34" spans="1:15" x14ac:dyDescent="0.35">
      <c r="I34" s="11" t="s">
        <v>15</v>
      </c>
      <c r="J34" s="14">
        <v>101</v>
      </c>
      <c r="K34" s="14">
        <v>88</v>
      </c>
      <c r="L34" s="14">
        <v>91</v>
      </c>
      <c r="M34" s="14">
        <v>144</v>
      </c>
      <c r="N34" s="14">
        <v>97</v>
      </c>
      <c r="O34" s="14">
        <v>521</v>
      </c>
    </row>
    <row r="35" spans="1:15" x14ac:dyDescent="0.35">
      <c r="I35" s="11" t="s">
        <v>105</v>
      </c>
      <c r="J35" s="14">
        <v>67</v>
      </c>
      <c r="K35" s="14">
        <v>63</v>
      </c>
      <c r="L35" s="14">
        <v>92</v>
      </c>
      <c r="M35" s="14">
        <v>122</v>
      </c>
      <c r="N35" s="14">
        <v>64</v>
      </c>
      <c r="O35" s="14">
        <v>408</v>
      </c>
    </row>
    <row r="36" spans="1:15" x14ac:dyDescent="0.35">
      <c r="I36" s="12" t="s">
        <v>2262</v>
      </c>
      <c r="J36" s="15">
        <v>268</v>
      </c>
      <c r="K36" s="15">
        <v>255</v>
      </c>
      <c r="L36" s="15">
        <v>293</v>
      </c>
      <c r="M36" s="15">
        <v>415</v>
      </c>
      <c r="N36" s="15">
        <v>269</v>
      </c>
      <c r="O36" s="15">
        <v>1500</v>
      </c>
    </row>
    <row r="45" spans="1:15" x14ac:dyDescent="0.35">
      <c r="A45" s="6" t="s">
        <v>2293</v>
      </c>
      <c r="I45" s="12" t="s">
        <v>2262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1D3EAF-F3C7-4418-8DD4-4F1122174A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cleaned_data</vt:lpstr>
      <vt:lpstr>Descriptive_Statistics</vt:lpstr>
      <vt:lpstr>Confidence_Interval</vt:lpstr>
      <vt:lpstr>T-test</vt:lpstr>
      <vt:lpstr>Chi-square</vt:lpstr>
      <vt:lpstr>Regression</vt:lpstr>
      <vt:lpstr>Sampling Awareness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Martins</dc:creator>
  <cp:lastModifiedBy>Francis Martins</cp:lastModifiedBy>
  <dcterms:created xsi:type="dcterms:W3CDTF">2026-08-06T22:06:52Z</dcterms:created>
  <dcterms:modified xsi:type="dcterms:W3CDTF">2026-08-11T11:56:45Z</dcterms:modified>
</cp:coreProperties>
</file>