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 7290\OneDrive\Desktop\Simz\"/>
    </mc:Choice>
  </mc:AlternateContent>
  <xr:revisionPtr revIDLastSave="0" documentId="13_ncr:1_{8C2D854C-E699-4CA5-AA7E-9E0245A55D67}" xr6:coauthVersionLast="36" xr6:coauthVersionMax="36" xr10:uidLastSave="{00000000-0000-0000-0000-000000000000}"/>
  <bookViews>
    <workbookView xWindow="0" yWindow="0" windowWidth="19200" windowHeight="6810" firstSheet="1" activeTab="5" xr2:uid="{00000000-000D-0000-FFFF-FFFF00000000}"/>
  </bookViews>
  <sheets>
    <sheet name="Raw_Data" sheetId="2" r:id="rId1"/>
    <sheet name="Literacy_Trend" sheetId="7" r:id="rId2"/>
    <sheet name="Percentage_Change" sheetId="5" r:id="rId3"/>
    <sheet name="Correlation" sheetId="4" r:id="rId4"/>
    <sheet name="Enrolment_Ranking" sheetId="3" r:id="rId5"/>
    <sheet name="Written Insight" sheetId="1" r:id="rId6"/>
  </sheets>
  <calcPr calcId="191029"/>
  <pivotCaches>
    <pivotCache cacheId="1179" r:id="rId7"/>
  </pivotCaches>
</workbook>
</file>

<file path=xl/calcChain.xml><?xml version="1.0" encoding="utf-8"?>
<calcChain xmlns="http://schemas.openxmlformats.org/spreadsheetml/2006/main">
  <c r="F3" i="4" l="1"/>
</calcChain>
</file>

<file path=xl/sharedStrings.xml><?xml version="1.0" encoding="utf-8"?>
<sst xmlns="http://schemas.openxmlformats.org/spreadsheetml/2006/main" count="166" uniqueCount="48">
  <si>
    <t>Social Indicator Trends, 2015-2023</t>
  </si>
  <si>
    <t xml:space="preserve">The results show that progress was made recorded across all the states, although the pattern of improvement was different from one state to another. </t>
  </si>
  <si>
    <t>No single state performed best in every area. Some states improved more in education, while others made stronger progress in health-related measures.</t>
  </si>
  <si>
    <t>Kano recorded the largest percentage increase in literacy, rising from 48.9% in 2015 to 54.9% in 2023.</t>
  </si>
  <si>
    <t xml:space="preserve">Kaduna also showed strong literacy growth, while Rivers recorded a steady improvement over the period. </t>
  </si>
  <si>
    <t xml:space="preserve">However, even with the progress, Kano and Kaduna still had lower literacy levels in 2023 than many of the other states in the dataset. </t>
  </si>
  <si>
    <t>Kano also continued to have the highest under-five mortality rate among the states shown, although the rate fell from 137.0 to 112.6 per 1,000.</t>
  </si>
  <si>
    <t xml:space="preserve">Lagos showed some of the strongest improvement in child health. Its under-five mortality rate fell from 51.7 in 2015 to 30.8 in 2023, which was the largest percentage reduction among the states. </t>
  </si>
  <si>
    <t>Lagos also maintained the highest literacy and primary-school enrolment levels by 2023. Delta and Anambra also recorded large reductions in under-five mortality, showing clear improvement in this area.</t>
  </si>
  <si>
    <t xml:space="preserve">In primary-school enrolment, Plateau recorded the fastest percentage improvement, followed by Kano and Kaduna. </t>
  </si>
  <si>
    <t>Even so, Plateau’s literacy growth was slower than that of many other states, and its under-five mortality rate remained relatively high in 2023.</t>
  </si>
  <si>
    <t xml:space="preserve">One possible reason for the differences is that states starting from lower levels had more room to improve, especially in literacy and school enrolment. </t>
  </si>
  <si>
    <t xml:space="preserve">Differences in access to schools, health-services, and local development may also have affected the results. </t>
  </si>
  <si>
    <t>Since the dataset is synthetic, these findings should be treated as practice results rather than official statistics.</t>
  </si>
  <si>
    <t>state</t>
  </si>
  <si>
    <t>year</t>
  </si>
  <si>
    <t>literacy_rate_pct</t>
  </si>
  <si>
    <t>total_fertility_rate</t>
  </si>
  <si>
    <t>under5_mortality_per_1000</t>
  </si>
  <si>
    <t>primary_school_enrolment_pct</t>
  </si>
  <si>
    <t>Lagos</t>
  </si>
  <si>
    <t>Kano</t>
  </si>
  <si>
    <t>Rivers</t>
  </si>
  <si>
    <t>Oyo</t>
  </si>
  <si>
    <t>Kaduna</t>
  </si>
  <si>
    <t>Enugu</t>
  </si>
  <si>
    <t>Delta</t>
  </si>
  <si>
    <t>Anambra</t>
  </si>
  <si>
    <t>Ogun</t>
  </si>
  <si>
    <t>Plateau</t>
  </si>
  <si>
    <t xml:space="preserve">Rank </t>
  </si>
  <si>
    <t>State</t>
  </si>
  <si>
    <t>% Point Improvement</t>
  </si>
  <si>
    <t>Correlation</t>
  </si>
  <si>
    <t>Interpretation</t>
  </si>
  <si>
    <t>In the 2023 data, states with higher literacy rates tended too have lower under-5 mortality rates.</t>
  </si>
  <si>
    <t>The correlation coefficient of approximately -0.98 indicates a very strong negative relationship.</t>
  </si>
  <si>
    <t>Literacy Change(%)</t>
  </si>
  <si>
    <t>Fertility Change(%)</t>
  </si>
  <si>
    <t>Under-5 Mortality Change</t>
  </si>
  <si>
    <t>Enrolment Change</t>
  </si>
  <si>
    <t>Literacy Rate 2023</t>
  </si>
  <si>
    <t>Under-5 Mortality 2023</t>
  </si>
  <si>
    <t xml:space="preserve">Delta </t>
  </si>
  <si>
    <t>Grand Total</t>
  </si>
  <si>
    <t>Sum of literacy_rate_pct</t>
  </si>
  <si>
    <t>Year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</si>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</sst>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0" fontId="0" fillId="0" borderId="10" xfId="0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[project3_social_indicator_analysis.xlsx]Literacy_Trend!PivotTable50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Literacy</a:t>
            </a:r>
            <a:r>
              <a:rPr lang="en-US" b="1" baseline="0"/>
              <a:t> Rate Trends by State, 2015-2023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53727034120735"/>
          <c:y val="0.15782407407407409"/>
          <c:w val="0.65494663167104117"/>
          <c:h val="0.62271617089530473"/>
        </c:manualLayout>
      </c:layout>
      <c:lineChart>
        <c:grouping val="standard"/>
        <c:varyColors val="0"/>
        <c:ser>
          <c:idx val="0"/>
          <c:order val="0"/>
          <c:tx>
            <c:strRef>
              <c:f>Literacy_Trend!$B$3:$B$4</c:f>
              <c:strCache>
                <c:ptCount val="1"/>
                <c:pt idx="0">
                  <c:v>Kaduna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Literacy_Trend!$A$5:$A$14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Literacy_Trend!$B$5:$B$14</c:f>
              <c:numCache>
                <c:formatCode>General</c:formatCode>
                <c:ptCount val="9"/>
                <c:pt idx="0">
                  <c:v>55.8</c:v>
                </c:pt>
                <c:pt idx="1">
                  <c:v>56.1</c:v>
                </c:pt>
                <c:pt idx="2">
                  <c:v>56.5</c:v>
                </c:pt>
                <c:pt idx="3">
                  <c:v>57.3</c:v>
                </c:pt>
                <c:pt idx="4">
                  <c:v>58.1</c:v>
                </c:pt>
                <c:pt idx="5">
                  <c:v>58.8</c:v>
                </c:pt>
                <c:pt idx="6">
                  <c:v>59.5</c:v>
                </c:pt>
                <c:pt idx="7">
                  <c:v>60.2</c:v>
                </c:pt>
                <c:pt idx="8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5C-4867-869B-C6E7167C6195}"/>
            </c:ext>
          </c:extLst>
        </c:ser>
        <c:ser>
          <c:idx val="1"/>
          <c:order val="1"/>
          <c:tx>
            <c:strRef>
              <c:f>Literacy_Trend!$C$3:$C$4</c:f>
              <c:strCache>
                <c:ptCount val="1"/>
                <c:pt idx="0">
                  <c:v>Kano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Literacy_Trend!$A$5:$A$14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Literacy_Trend!$C$5:$C$14</c:f>
              <c:numCache>
                <c:formatCode>General</c:formatCode>
                <c:ptCount val="9"/>
                <c:pt idx="0">
                  <c:v>48.9</c:v>
                </c:pt>
                <c:pt idx="1">
                  <c:v>49.5</c:v>
                </c:pt>
                <c:pt idx="2">
                  <c:v>50.4</c:v>
                </c:pt>
                <c:pt idx="3">
                  <c:v>51.2</c:v>
                </c:pt>
                <c:pt idx="4">
                  <c:v>51.8</c:v>
                </c:pt>
                <c:pt idx="5">
                  <c:v>52.2</c:v>
                </c:pt>
                <c:pt idx="6">
                  <c:v>53.1</c:v>
                </c:pt>
                <c:pt idx="7">
                  <c:v>54</c:v>
                </c:pt>
                <c:pt idx="8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5C-4867-869B-C6E7167C6195}"/>
            </c:ext>
          </c:extLst>
        </c:ser>
        <c:ser>
          <c:idx val="2"/>
          <c:order val="2"/>
          <c:tx>
            <c:strRef>
              <c:f>Literacy_Trend!$D$3:$D$4</c:f>
              <c:strCache>
                <c:ptCount val="1"/>
                <c:pt idx="0">
                  <c:v>Lagos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Literacy_Trend!$A$5:$A$14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Literacy_Trend!$D$5:$D$14</c:f>
              <c:numCache>
                <c:formatCode>General</c:formatCode>
                <c:ptCount val="9"/>
                <c:pt idx="0">
                  <c:v>85.3</c:v>
                </c:pt>
                <c:pt idx="1">
                  <c:v>85.8</c:v>
                </c:pt>
                <c:pt idx="2">
                  <c:v>86.3</c:v>
                </c:pt>
                <c:pt idx="3">
                  <c:v>86.7</c:v>
                </c:pt>
                <c:pt idx="4">
                  <c:v>87.5</c:v>
                </c:pt>
                <c:pt idx="5">
                  <c:v>88.1</c:v>
                </c:pt>
                <c:pt idx="6">
                  <c:v>89</c:v>
                </c:pt>
                <c:pt idx="7">
                  <c:v>89.6</c:v>
                </c:pt>
                <c:pt idx="8">
                  <c:v>90.2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5C-4867-869B-C6E7167C6195}"/>
            </c:ext>
          </c:extLst>
        </c:ser>
        <c:ser>
          <c:idx val="3"/>
          <c:order val="3"/>
          <c:tx>
            <c:strRef>
              <c:f>Literacy_Trend!$E$3:$E$4</c:f>
              <c:strCache>
                <c:ptCount val="1"/>
                <c:pt idx="0">
                  <c:v>Rivers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Literacy_Trend!$A$5:$A$14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Literacy_Trend!$E$5:$E$14</c:f>
              <c:numCache>
                <c:formatCode>General</c:formatCode>
                <c:ptCount val="9"/>
                <c:pt idx="0">
                  <c:v>78.900000000000006</c:v>
                </c:pt>
                <c:pt idx="1">
                  <c:v>79.599999999999994</c:v>
                </c:pt>
                <c:pt idx="2">
                  <c:v>80.5</c:v>
                </c:pt>
                <c:pt idx="3">
                  <c:v>81.2</c:v>
                </c:pt>
                <c:pt idx="4">
                  <c:v>82.2</c:v>
                </c:pt>
                <c:pt idx="5">
                  <c:v>82.7</c:v>
                </c:pt>
                <c:pt idx="6">
                  <c:v>83.6</c:v>
                </c:pt>
                <c:pt idx="7">
                  <c:v>84.3</c:v>
                </c:pt>
                <c:pt idx="8">
                  <c:v>85.1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5C-4867-869B-C6E7167C6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76495"/>
        <c:axId val="1523221711"/>
      </c:lineChart>
      <c:catAx>
        <c:axId val="2207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221711"/>
        <c:crosses val="autoZero"/>
        <c:auto val="1"/>
        <c:lblAlgn val="ctr"/>
        <c:lblOffset val="100"/>
        <c:noMultiLvlLbl val="0"/>
      </c:catAx>
      <c:valAx>
        <c:axId val="15232217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Literacy</a:t>
                </a:r>
                <a:r>
                  <a:rPr lang="en-US" b="1" baseline="0"/>
                  <a:t> Rate(%)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3175</xdr:colOff>
      <xdr:row>19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0DBD68-DC03-4C03-96A0-ACD097DC2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 Martins" refreshedDate="46242.141015277775" createdVersion="6" refreshedVersion="6" minRefreshableVersion="3" recordCount="90" xr:uid="{00000000-000A-0000-FFFF-FFFF92040000}">
  <cacheSource type="worksheet">
    <worksheetSource ref="A1:F91" sheet="Raw_Data"/>
  </cacheSource>
  <cacheFields count="6">
    <cacheField name="state" numFmtId="0">
      <sharedItems count="10">
        <s v="Lagos"/>
        <s v="Kano"/>
        <s v="Rivers"/>
        <s v="Oyo"/>
        <s v="Kaduna"/>
        <s v="Enugu"/>
        <s v="Delta"/>
        <s v="Anambra"/>
        <s v="Ogun"/>
        <s v="Plateau"/>
      </sharedItems>
    </cacheField>
    <cacheField name="year" numFmtId="0">
      <sharedItems containsSemiMixedTypes="0" containsString="0" containsNumber="1" containsInteger="1" minValue="2015" maxValue="2023" count="9">
        <n v="2015"/>
        <n v="2016"/>
        <n v="2017"/>
        <n v="2018"/>
        <n v="2019"/>
        <n v="2020"/>
        <n v="2021"/>
        <n v="2022"/>
        <n v="2023"/>
      </sharedItems>
    </cacheField>
    <cacheField name="literacy_rate_pct" numFmtId="0">
      <sharedItems containsSemiMixedTypes="0" containsString="0" containsNumber="1" minValue="48.9" maxValue="90.2"/>
    </cacheField>
    <cacheField name="total_fertility_rate" numFmtId="0">
      <sharedItems containsSemiMixedTypes="0" containsString="0" containsNumber="1" minValue="2.98" maxValue="6.76"/>
    </cacheField>
    <cacheField name="under5_mortality_per_1000" numFmtId="0">
      <sharedItems containsSemiMixedTypes="0" containsString="0" containsNumber="1" minValue="30.8" maxValue="137"/>
    </cacheField>
    <cacheField name="primary_school_enrolment_pct" numFmtId="0">
      <sharedItems containsSemiMixedTypes="0" containsString="0" containsNumber="1" minValue="58.7" maxValue="97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">
  <r>
    <x v="0"/>
    <x v="0"/>
    <n v="85.3"/>
    <n v="3.36"/>
    <n v="51.7"/>
    <n v="92.2"/>
  </r>
  <r>
    <x v="0"/>
    <x v="1"/>
    <n v="85.8"/>
    <n v="3.34"/>
    <n v="49.4"/>
    <n v="92.9"/>
  </r>
  <r>
    <x v="0"/>
    <x v="2"/>
    <n v="86.3"/>
    <n v="3.28"/>
    <n v="47.8"/>
    <n v="93.7"/>
  </r>
  <r>
    <x v="0"/>
    <x v="3"/>
    <n v="86.7"/>
    <n v="3.25"/>
    <n v="45"/>
    <n v="94.5"/>
  </r>
  <r>
    <x v="0"/>
    <x v="4"/>
    <n v="87.5"/>
    <n v="3.18"/>
    <n v="41.6"/>
    <n v="95"/>
  </r>
  <r>
    <x v="0"/>
    <x v="5"/>
    <n v="88.1"/>
    <n v="3.11"/>
    <n v="39.5"/>
    <n v="95.8"/>
  </r>
  <r>
    <x v="0"/>
    <x v="6"/>
    <n v="89"/>
    <n v="3.05"/>
    <n v="36.700000000000003"/>
    <n v="96.1"/>
  </r>
  <r>
    <x v="0"/>
    <x v="7"/>
    <n v="89.6"/>
    <n v="3.01"/>
    <n v="34.299999999999997"/>
    <n v="96.6"/>
  </r>
  <r>
    <x v="0"/>
    <x v="8"/>
    <n v="90.2"/>
    <n v="2.98"/>
    <n v="30.8"/>
    <n v="97.3"/>
  </r>
  <r>
    <x v="1"/>
    <x v="0"/>
    <n v="48.9"/>
    <n v="6.76"/>
    <n v="137"/>
    <n v="58.7"/>
  </r>
  <r>
    <x v="1"/>
    <x v="1"/>
    <n v="49.5"/>
    <n v="6.72"/>
    <n v="133.4"/>
    <n v="59.3"/>
  </r>
  <r>
    <x v="1"/>
    <x v="2"/>
    <n v="50.4"/>
    <n v="6.67"/>
    <n v="129.9"/>
    <n v="60.1"/>
  </r>
  <r>
    <x v="1"/>
    <x v="3"/>
    <n v="51.2"/>
    <n v="6.6"/>
    <n v="126.6"/>
    <n v="60.6"/>
  </r>
  <r>
    <x v="1"/>
    <x v="4"/>
    <n v="51.8"/>
    <n v="6.53"/>
    <n v="124.8"/>
    <n v="61.1"/>
  </r>
  <r>
    <x v="1"/>
    <x v="5"/>
    <n v="52.2"/>
    <n v="6.47"/>
    <n v="121.1"/>
    <n v="61.5"/>
  </r>
  <r>
    <x v="1"/>
    <x v="6"/>
    <n v="53.1"/>
    <n v="6.4"/>
    <n v="117.9"/>
    <n v="61.9"/>
  </r>
  <r>
    <x v="1"/>
    <x v="7"/>
    <n v="54"/>
    <n v="6.36"/>
    <n v="114.5"/>
    <n v="62.4"/>
  </r>
  <r>
    <x v="1"/>
    <x v="8"/>
    <n v="54.9"/>
    <n v="6.29"/>
    <n v="112.6"/>
    <n v="62.7"/>
  </r>
  <r>
    <x v="2"/>
    <x v="0"/>
    <n v="78.900000000000006"/>
    <n v="3.86"/>
    <n v="67.5"/>
    <n v="85.2"/>
  </r>
  <r>
    <x v="2"/>
    <x v="1"/>
    <n v="79.599999999999994"/>
    <n v="3.79"/>
    <n v="63.8"/>
    <n v="85.6"/>
  </r>
  <r>
    <x v="2"/>
    <x v="2"/>
    <n v="80.5"/>
    <n v="3.76"/>
    <n v="61.4"/>
    <n v="86"/>
  </r>
  <r>
    <x v="2"/>
    <x v="3"/>
    <n v="81.2"/>
    <n v="3.71"/>
    <n v="58.5"/>
    <n v="86.6"/>
  </r>
  <r>
    <x v="2"/>
    <x v="4"/>
    <n v="82.2"/>
    <n v="3.67"/>
    <n v="56.5"/>
    <n v="87.4"/>
  </r>
  <r>
    <x v="2"/>
    <x v="5"/>
    <n v="82.7"/>
    <n v="3.61"/>
    <n v="52.7"/>
    <n v="87.6"/>
  </r>
  <r>
    <x v="2"/>
    <x v="6"/>
    <n v="83.6"/>
    <n v="3.59"/>
    <n v="49.9"/>
    <n v="88.1"/>
  </r>
  <r>
    <x v="2"/>
    <x v="7"/>
    <n v="84.3"/>
    <n v="3.52"/>
    <n v="48.3"/>
    <n v="88.4"/>
  </r>
  <r>
    <x v="2"/>
    <x v="8"/>
    <n v="85.1"/>
    <n v="3.46"/>
    <n v="46.5"/>
    <n v="89"/>
  </r>
  <r>
    <x v="3"/>
    <x v="0"/>
    <n v="72.400000000000006"/>
    <n v="4.05"/>
    <n v="71"/>
    <n v="80.8"/>
  </r>
  <r>
    <x v="3"/>
    <x v="1"/>
    <n v="73.2"/>
    <n v="4"/>
    <n v="67.3"/>
    <n v="81.5"/>
  </r>
  <r>
    <x v="3"/>
    <x v="2"/>
    <n v="73.5"/>
    <n v="3.94"/>
    <n v="64.3"/>
    <n v="82"/>
  </r>
  <r>
    <x v="3"/>
    <x v="3"/>
    <n v="74.099999999999994"/>
    <n v="3.9"/>
    <n v="62.1"/>
    <n v="82.8"/>
  </r>
  <r>
    <x v="3"/>
    <x v="4"/>
    <n v="74.900000000000006"/>
    <n v="3.87"/>
    <n v="58.7"/>
    <n v="83.5"/>
  </r>
  <r>
    <x v="3"/>
    <x v="5"/>
    <n v="75.7"/>
    <n v="3.84"/>
    <n v="56.4"/>
    <n v="83.9"/>
  </r>
  <r>
    <x v="3"/>
    <x v="6"/>
    <n v="76.599999999999994"/>
    <n v="3.76"/>
    <n v="53.3"/>
    <n v="84.2"/>
  </r>
  <r>
    <x v="3"/>
    <x v="7"/>
    <n v="77"/>
    <n v="3.72"/>
    <n v="51.5"/>
    <n v="84.8"/>
  </r>
  <r>
    <x v="3"/>
    <x v="8"/>
    <n v="77.5"/>
    <n v="3.69"/>
    <n v="49.6"/>
    <n v="85.2"/>
  </r>
  <r>
    <x v="4"/>
    <x v="0"/>
    <n v="55.8"/>
    <n v="5.96"/>
    <n v="117.2"/>
    <n v="62.4"/>
  </r>
  <r>
    <x v="4"/>
    <x v="1"/>
    <n v="56.1"/>
    <n v="5.94"/>
    <n v="115.1"/>
    <n v="62.8"/>
  </r>
  <r>
    <x v="4"/>
    <x v="2"/>
    <n v="56.5"/>
    <n v="5.87"/>
    <n v="112.3"/>
    <n v="63.2"/>
  </r>
  <r>
    <x v="4"/>
    <x v="3"/>
    <n v="57.3"/>
    <n v="5.83"/>
    <n v="110.3"/>
    <n v="63.6"/>
  </r>
  <r>
    <x v="4"/>
    <x v="4"/>
    <n v="58.1"/>
    <n v="5.79"/>
    <n v="108.2"/>
    <n v="64.400000000000006"/>
  </r>
  <r>
    <x v="4"/>
    <x v="5"/>
    <n v="58.8"/>
    <n v="5.73"/>
    <n v="104.4"/>
    <n v="64.8"/>
  </r>
  <r>
    <x v="4"/>
    <x v="6"/>
    <n v="59.5"/>
    <n v="5.7"/>
    <n v="100.5"/>
    <n v="65.599999999999994"/>
  </r>
  <r>
    <x v="4"/>
    <x v="7"/>
    <n v="60.2"/>
    <n v="5.67"/>
    <n v="96.6"/>
    <n v="65.8"/>
  </r>
  <r>
    <x v="4"/>
    <x v="8"/>
    <n v="60.8"/>
    <n v="5.59"/>
    <n v="94.3"/>
    <n v="66.599999999999994"/>
  </r>
  <r>
    <x v="5"/>
    <x v="0"/>
    <n v="77"/>
    <n v="3.94"/>
    <n v="69.7"/>
    <n v="83.9"/>
  </r>
  <r>
    <x v="5"/>
    <x v="1"/>
    <n v="77.599999999999994"/>
    <n v="3.86"/>
    <n v="67.900000000000006"/>
    <n v="84.7"/>
  </r>
  <r>
    <x v="5"/>
    <x v="2"/>
    <n v="78.400000000000006"/>
    <n v="3.84"/>
    <n v="64.8"/>
    <n v="85.1"/>
  </r>
  <r>
    <x v="5"/>
    <x v="3"/>
    <n v="79.099999999999994"/>
    <n v="3.79"/>
    <n v="63"/>
    <n v="85.9"/>
  </r>
  <r>
    <x v="5"/>
    <x v="4"/>
    <n v="80"/>
    <n v="3.73"/>
    <n v="60.5"/>
    <n v="86.5"/>
  </r>
  <r>
    <x v="5"/>
    <x v="5"/>
    <n v="80.599999999999994"/>
    <n v="3.68"/>
    <n v="57.9"/>
    <n v="86.8"/>
  </r>
  <r>
    <x v="5"/>
    <x v="6"/>
    <n v="81.5"/>
    <n v="3.63"/>
    <n v="56.1"/>
    <n v="87.1"/>
  </r>
  <r>
    <x v="5"/>
    <x v="7"/>
    <n v="82.1"/>
    <n v="3.61"/>
    <n v="52.9"/>
    <n v="87.3"/>
  </r>
  <r>
    <x v="5"/>
    <x v="8"/>
    <n v="82.4"/>
    <n v="3.58"/>
    <n v="49.4"/>
    <n v="88"/>
  </r>
  <r>
    <x v="6"/>
    <x v="0"/>
    <n v="74.900000000000006"/>
    <n v="3.63"/>
    <n v="65.900000000000006"/>
    <n v="81.599999999999994"/>
  </r>
  <r>
    <x v="6"/>
    <x v="1"/>
    <n v="75.599999999999994"/>
    <n v="3.59"/>
    <n v="63.5"/>
    <n v="81.900000000000006"/>
  </r>
  <r>
    <x v="6"/>
    <x v="2"/>
    <n v="75.900000000000006"/>
    <n v="3.53"/>
    <n v="60.2"/>
    <n v="82.1"/>
  </r>
  <r>
    <x v="6"/>
    <x v="3"/>
    <n v="76.400000000000006"/>
    <n v="3.49"/>
    <n v="56.7"/>
    <n v="82.7"/>
  </r>
  <r>
    <x v="6"/>
    <x v="4"/>
    <n v="77"/>
    <n v="3.46"/>
    <n v="53.7"/>
    <n v="83.5"/>
  </r>
  <r>
    <x v="6"/>
    <x v="5"/>
    <n v="78"/>
    <n v="3.44"/>
    <n v="50.9"/>
    <n v="83.7"/>
  </r>
  <r>
    <x v="6"/>
    <x v="6"/>
    <n v="78.900000000000006"/>
    <n v="3.38"/>
    <n v="48.4"/>
    <n v="84.2"/>
  </r>
  <r>
    <x v="6"/>
    <x v="7"/>
    <n v="79.3"/>
    <n v="3.3"/>
    <n v="44.6"/>
    <n v="85"/>
  </r>
  <r>
    <x v="6"/>
    <x v="8"/>
    <n v="80.2"/>
    <n v="3.28"/>
    <n v="40.9"/>
    <n v="85.3"/>
  </r>
  <r>
    <x v="7"/>
    <x v="0"/>
    <n v="81"/>
    <n v="3.73"/>
    <n v="61.3"/>
    <n v="86.7"/>
  </r>
  <r>
    <x v="7"/>
    <x v="1"/>
    <n v="81.900000000000006"/>
    <n v="3.67"/>
    <n v="57.5"/>
    <n v="86.9"/>
  </r>
  <r>
    <x v="7"/>
    <x v="2"/>
    <n v="82.7"/>
    <n v="3.6"/>
    <n v="53.8"/>
    <n v="87.2"/>
  </r>
  <r>
    <x v="7"/>
    <x v="3"/>
    <n v="83.3"/>
    <n v="3.54"/>
    <n v="51.7"/>
    <n v="87.7"/>
  </r>
  <r>
    <x v="7"/>
    <x v="4"/>
    <n v="84.2"/>
    <n v="3.47"/>
    <n v="48.6"/>
    <n v="88.5"/>
  </r>
  <r>
    <x v="7"/>
    <x v="5"/>
    <n v="84.6"/>
    <n v="3.42"/>
    <n v="46.8"/>
    <n v="88.8"/>
  </r>
  <r>
    <x v="7"/>
    <x v="6"/>
    <n v="85.3"/>
    <n v="3.36"/>
    <n v="44.7"/>
    <n v="89.5"/>
  </r>
  <r>
    <x v="7"/>
    <x v="7"/>
    <n v="86.2"/>
    <n v="3.29"/>
    <n v="41.7"/>
    <n v="90.2"/>
  </r>
  <r>
    <x v="7"/>
    <x v="8"/>
    <n v="86.7"/>
    <n v="3.24"/>
    <n v="38.5"/>
    <n v="90.4"/>
  </r>
  <r>
    <x v="8"/>
    <x v="0"/>
    <n v="75.3"/>
    <n v="3.86"/>
    <n v="66.5"/>
    <n v="82.5"/>
  </r>
  <r>
    <x v="8"/>
    <x v="1"/>
    <n v="76.2"/>
    <n v="3.82"/>
    <n v="64.2"/>
    <n v="83.3"/>
  </r>
  <r>
    <x v="8"/>
    <x v="2"/>
    <n v="76.8"/>
    <n v="3.77"/>
    <n v="60.7"/>
    <n v="83.8"/>
  </r>
  <r>
    <x v="8"/>
    <x v="3"/>
    <n v="77.099999999999994"/>
    <n v="3.72"/>
    <n v="58.3"/>
    <n v="84.3"/>
  </r>
  <r>
    <x v="8"/>
    <x v="4"/>
    <n v="77.599999999999994"/>
    <n v="3.66"/>
    <n v="55.6"/>
    <n v="85"/>
  </r>
  <r>
    <x v="8"/>
    <x v="5"/>
    <n v="78.2"/>
    <n v="3.62"/>
    <n v="52.8"/>
    <n v="85.8"/>
  </r>
  <r>
    <x v="8"/>
    <x v="6"/>
    <n v="79.099999999999994"/>
    <n v="3.59"/>
    <n v="51.1"/>
    <n v="86.2"/>
  </r>
  <r>
    <x v="8"/>
    <x v="7"/>
    <n v="79.900000000000006"/>
    <n v="3.53"/>
    <n v="47.7"/>
    <n v="86.8"/>
  </r>
  <r>
    <x v="8"/>
    <x v="8"/>
    <n v="80.5"/>
    <n v="3.47"/>
    <n v="44.3"/>
    <n v="87.4"/>
  </r>
  <r>
    <x v="9"/>
    <x v="0"/>
    <n v="68.3"/>
    <n v="5.16"/>
    <n v="92.4"/>
    <n v="72.400000000000006"/>
  </r>
  <r>
    <x v="9"/>
    <x v="1"/>
    <n v="68.7"/>
    <n v="5.0999999999999996"/>
    <n v="90.8"/>
    <n v="73"/>
  </r>
  <r>
    <x v="9"/>
    <x v="2"/>
    <n v="69"/>
    <n v="5.0599999999999996"/>
    <n v="86.9"/>
    <n v="73.8"/>
  </r>
  <r>
    <x v="9"/>
    <x v="3"/>
    <n v="69.599999999999994"/>
    <n v="5.03"/>
    <n v="83"/>
    <n v="74.7"/>
  </r>
  <r>
    <x v="9"/>
    <x v="4"/>
    <n v="70.2"/>
    <n v="5.01"/>
    <n v="81.2"/>
    <n v="75.5"/>
  </r>
  <r>
    <x v="9"/>
    <x v="5"/>
    <n v="70.599999999999994"/>
    <n v="4.97"/>
    <n v="79"/>
    <n v="75.900000000000006"/>
  </r>
  <r>
    <x v="9"/>
    <x v="6"/>
    <n v="70.900000000000006"/>
    <n v="4.95"/>
    <n v="77.099999999999994"/>
    <n v="76.5"/>
  </r>
  <r>
    <x v="9"/>
    <x v="7"/>
    <n v="71.400000000000006"/>
    <n v="4.88"/>
    <n v="74.5"/>
    <n v="77.2"/>
  </r>
  <r>
    <x v="9"/>
    <x v="8"/>
    <n v="71.900000000000006"/>
    <n v="4.8499999999999996"/>
    <n v="70.599999999999994"/>
    <n v="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50" cacheId="117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Year" colHeaderCaption="State">
  <location ref="A3:F14" firstHeaderRow="1" firstDataRow="2" firstDataCol="1"/>
  <pivotFields count="6">
    <pivotField axis="axisCol" showAll="0">
      <items count="11">
        <item h="1" x="7"/>
        <item h="1" x="6"/>
        <item h="1" x="5"/>
        <item x="4"/>
        <item x="1"/>
        <item x="0"/>
        <item h="1" x="8"/>
        <item h="1" x="3"/>
        <item h="1" x="9"/>
        <item x="2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5">
    <i>
      <x v="3"/>
    </i>
    <i>
      <x v="4"/>
    </i>
    <i>
      <x v="5"/>
    </i>
    <i>
      <x v="9"/>
    </i>
    <i t="grand">
      <x/>
    </i>
  </colItems>
  <dataFields count="1">
    <dataField name="Sum of literacy_rate_pct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workbookViewId="0">
      <selection activeCell="D14" sqref="D14"/>
    </sheetView>
  </sheetViews>
  <sheetFormatPr defaultRowHeight="14.5" x14ac:dyDescent="0.35"/>
  <cols>
    <col min="1" max="1" width="8.54296875" bestFit="1" customWidth="1"/>
    <col min="2" max="2" width="4.81640625" bestFit="1" customWidth="1"/>
    <col min="3" max="3" width="14.81640625" bestFit="1" customWidth="1"/>
    <col min="4" max="4" width="16" bestFit="1" customWidth="1"/>
    <col min="5" max="5" width="24.453125" bestFit="1" customWidth="1"/>
    <col min="6" max="6" width="27.36328125" bestFit="1" customWidth="1"/>
  </cols>
  <sheetData>
    <row r="1" spans="1:6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5">
      <c r="A2" t="s">
        <v>20</v>
      </c>
      <c r="B2">
        <v>2015</v>
      </c>
      <c r="C2">
        <v>85.3</v>
      </c>
      <c r="D2">
        <v>3.36</v>
      </c>
      <c r="E2">
        <v>51.7</v>
      </c>
      <c r="F2">
        <v>92.2</v>
      </c>
    </row>
    <row r="3" spans="1:6" x14ac:dyDescent="0.35">
      <c r="A3" t="s">
        <v>20</v>
      </c>
      <c r="B3">
        <v>2016</v>
      </c>
      <c r="C3">
        <v>85.8</v>
      </c>
      <c r="D3">
        <v>3.34</v>
      </c>
      <c r="E3">
        <v>49.4</v>
      </c>
      <c r="F3">
        <v>92.9</v>
      </c>
    </row>
    <row r="4" spans="1:6" x14ac:dyDescent="0.35">
      <c r="A4" t="s">
        <v>20</v>
      </c>
      <c r="B4">
        <v>2017</v>
      </c>
      <c r="C4">
        <v>86.3</v>
      </c>
      <c r="D4">
        <v>3.28</v>
      </c>
      <c r="E4">
        <v>47.8</v>
      </c>
      <c r="F4">
        <v>93.7</v>
      </c>
    </row>
    <row r="5" spans="1:6" x14ac:dyDescent="0.35">
      <c r="A5" t="s">
        <v>20</v>
      </c>
      <c r="B5">
        <v>2018</v>
      </c>
      <c r="C5">
        <v>86.7</v>
      </c>
      <c r="D5">
        <v>3.25</v>
      </c>
      <c r="E5">
        <v>45</v>
      </c>
      <c r="F5">
        <v>94.5</v>
      </c>
    </row>
    <row r="6" spans="1:6" x14ac:dyDescent="0.35">
      <c r="A6" t="s">
        <v>20</v>
      </c>
      <c r="B6">
        <v>2019</v>
      </c>
      <c r="C6">
        <v>87.5</v>
      </c>
      <c r="D6">
        <v>3.18</v>
      </c>
      <c r="E6">
        <v>41.6</v>
      </c>
      <c r="F6">
        <v>95</v>
      </c>
    </row>
    <row r="7" spans="1:6" x14ac:dyDescent="0.35">
      <c r="A7" t="s">
        <v>20</v>
      </c>
      <c r="B7">
        <v>2020</v>
      </c>
      <c r="C7">
        <v>88.1</v>
      </c>
      <c r="D7">
        <v>3.11</v>
      </c>
      <c r="E7">
        <v>39.5</v>
      </c>
      <c r="F7">
        <v>95.8</v>
      </c>
    </row>
    <row r="8" spans="1:6" x14ac:dyDescent="0.35">
      <c r="A8" t="s">
        <v>20</v>
      </c>
      <c r="B8">
        <v>2021</v>
      </c>
      <c r="C8">
        <v>89</v>
      </c>
      <c r="D8">
        <v>3.05</v>
      </c>
      <c r="E8">
        <v>36.700000000000003</v>
      </c>
      <c r="F8">
        <v>96.1</v>
      </c>
    </row>
    <row r="9" spans="1:6" x14ac:dyDescent="0.35">
      <c r="A9" t="s">
        <v>20</v>
      </c>
      <c r="B9">
        <v>2022</v>
      </c>
      <c r="C9">
        <v>89.6</v>
      </c>
      <c r="D9">
        <v>3.01</v>
      </c>
      <c r="E9">
        <v>34.299999999999997</v>
      </c>
      <c r="F9">
        <v>96.6</v>
      </c>
    </row>
    <row r="10" spans="1:6" x14ac:dyDescent="0.35">
      <c r="A10" t="s">
        <v>20</v>
      </c>
      <c r="B10">
        <v>2023</v>
      </c>
      <c r="C10">
        <v>90.2</v>
      </c>
      <c r="D10">
        <v>2.98</v>
      </c>
      <c r="E10">
        <v>30.8</v>
      </c>
      <c r="F10">
        <v>97.3</v>
      </c>
    </row>
    <row r="11" spans="1:6" x14ac:dyDescent="0.35">
      <c r="A11" t="s">
        <v>21</v>
      </c>
      <c r="B11">
        <v>2015</v>
      </c>
      <c r="C11">
        <v>48.9</v>
      </c>
      <c r="D11">
        <v>6.76</v>
      </c>
      <c r="E11">
        <v>137</v>
      </c>
      <c r="F11">
        <v>58.7</v>
      </c>
    </row>
    <row r="12" spans="1:6" x14ac:dyDescent="0.35">
      <c r="A12" t="s">
        <v>21</v>
      </c>
      <c r="B12">
        <v>2016</v>
      </c>
      <c r="C12">
        <v>49.5</v>
      </c>
      <c r="D12">
        <v>6.72</v>
      </c>
      <c r="E12">
        <v>133.4</v>
      </c>
      <c r="F12">
        <v>59.3</v>
      </c>
    </row>
    <row r="13" spans="1:6" x14ac:dyDescent="0.35">
      <c r="A13" t="s">
        <v>21</v>
      </c>
      <c r="B13">
        <v>2017</v>
      </c>
      <c r="C13">
        <v>50.4</v>
      </c>
      <c r="D13">
        <v>6.67</v>
      </c>
      <c r="E13">
        <v>129.9</v>
      </c>
      <c r="F13">
        <v>60.1</v>
      </c>
    </row>
    <row r="14" spans="1:6" x14ac:dyDescent="0.35">
      <c r="A14" t="s">
        <v>21</v>
      </c>
      <c r="B14">
        <v>2018</v>
      </c>
      <c r="C14">
        <v>51.2</v>
      </c>
      <c r="D14">
        <v>6.6</v>
      </c>
      <c r="E14">
        <v>126.6</v>
      </c>
      <c r="F14">
        <v>60.6</v>
      </c>
    </row>
    <row r="15" spans="1:6" x14ac:dyDescent="0.35">
      <c r="A15" t="s">
        <v>21</v>
      </c>
      <c r="B15">
        <v>2019</v>
      </c>
      <c r="C15">
        <v>51.8</v>
      </c>
      <c r="D15">
        <v>6.53</v>
      </c>
      <c r="E15">
        <v>124.8</v>
      </c>
      <c r="F15">
        <v>61.1</v>
      </c>
    </row>
    <row r="16" spans="1:6" x14ac:dyDescent="0.35">
      <c r="A16" t="s">
        <v>21</v>
      </c>
      <c r="B16">
        <v>2020</v>
      </c>
      <c r="C16">
        <v>52.2</v>
      </c>
      <c r="D16">
        <v>6.47</v>
      </c>
      <c r="E16">
        <v>121.1</v>
      </c>
      <c r="F16">
        <v>61.5</v>
      </c>
    </row>
    <row r="17" spans="1:6" x14ac:dyDescent="0.35">
      <c r="A17" t="s">
        <v>21</v>
      </c>
      <c r="B17">
        <v>2021</v>
      </c>
      <c r="C17">
        <v>53.1</v>
      </c>
      <c r="D17">
        <v>6.4</v>
      </c>
      <c r="E17">
        <v>117.9</v>
      </c>
      <c r="F17">
        <v>61.9</v>
      </c>
    </row>
    <row r="18" spans="1:6" x14ac:dyDescent="0.35">
      <c r="A18" t="s">
        <v>21</v>
      </c>
      <c r="B18">
        <v>2022</v>
      </c>
      <c r="C18">
        <v>54</v>
      </c>
      <c r="D18">
        <v>6.36</v>
      </c>
      <c r="E18">
        <v>114.5</v>
      </c>
      <c r="F18">
        <v>62.4</v>
      </c>
    </row>
    <row r="19" spans="1:6" x14ac:dyDescent="0.35">
      <c r="A19" t="s">
        <v>21</v>
      </c>
      <c r="B19">
        <v>2023</v>
      </c>
      <c r="C19">
        <v>54.9</v>
      </c>
      <c r="D19">
        <v>6.29</v>
      </c>
      <c r="E19">
        <v>112.6</v>
      </c>
      <c r="F19">
        <v>62.7</v>
      </c>
    </row>
    <row r="20" spans="1:6" x14ac:dyDescent="0.35">
      <c r="A20" t="s">
        <v>22</v>
      </c>
      <c r="B20">
        <v>2015</v>
      </c>
      <c r="C20">
        <v>78.900000000000006</v>
      </c>
      <c r="D20">
        <v>3.86</v>
      </c>
      <c r="E20">
        <v>67.5</v>
      </c>
      <c r="F20">
        <v>85.2</v>
      </c>
    </row>
    <row r="21" spans="1:6" x14ac:dyDescent="0.35">
      <c r="A21" t="s">
        <v>22</v>
      </c>
      <c r="B21">
        <v>2016</v>
      </c>
      <c r="C21">
        <v>79.599999999999994</v>
      </c>
      <c r="D21">
        <v>3.79</v>
      </c>
      <c r="E21">
        <v>63.8</v>
      </c>
      <c r="F21">
        <v>85.6</v>
      </c>
    </row>
    <row r="22" spans="1:6" x14ac:dyDescent="0.35">
      <c r="A22" t="s">
        <v>22</v>
      </c>
      <c r="B22">
        <v>2017</v>
      </c>
      <c r="C22">
        <v>80.5</v>
      </c>
      <c r="D22">
        <v>3.76</v>
      </c>
      <c r="E22">
        <v>61.4</v>
      </c>
      <c r="F22">
        <v>86</v>
      </c>
    </row>
    <row r="23" spans="1:6" x14ac:dyDescent="0.35">
      <c r="A23" t="s">
        <v>22</v>
      </c>
      <c r="B23">
        <v>2018</v>
      </c>
      <c r="C23">
        <v>81.2</v>
      </c>
      <c r="D23">
        <v>3.71</v>
      </c>
      <c r="E23">
        <v>58.5</v>
      </c>
      <c r="F23">
        <v>86.6</v>
      </c>
    </row>
    <row r="24" spans="1:6" x14ac:dyDescent="0.35">
      <c r="A24" t="s">
        <v>22</v>
      </c>
      <c r="B24">
        <v>2019</v>
      </c>
      <c r="C24">
        <v>82.2</v>
      </c>
      <c r="D24">
        <v>3.67</v>
      </c>
      <c r="E24">
        <v>56.5</v>
      </c>
      <c r="F24">
        <v>87.4</v>
      </c>
    </row>
    <row r="25" spans="1:6" x14ac:dyDescent="0.35">
      <c r="A25" t="s">
        <v>22</v>
      </c>
      <c r="B25">
        <v>2020</v>
      </c>
      <c r="C25">
        <v>82.7</v>
      </c>
      <c r="D25">
        <v>3.61</v>
      </c>
      <c r="E25">
        <v>52.7</v>
      </c>
      <c r="F25">
        <v>87.6</v>
      </c>
    </row>
    <row r="26" spans="1:6" x14ac:dyDescent="0.35">
      <c r="A26" t="s">
        <v>22</v>
      </c>
      <c r="B26">
        <v>2021</v>
      </c>
      <c r="C26">
        <v>83.6</v>
      </c>
      <c r="D26">
        <v>3.59</v>
      </c>
      <c r="E26">
        <v>49.9</v>
      </c>
      <c r="F26">
        <v>88.1</v>
      </c>
    </row>
    <row r="27" spans="1:6" x14ac:dyDescent="0.35">
      <c r="A27" t="s">
        <v>22</v>
      </c>
      <c r="B27">
        <v>2022</v>
      </c>
      <c r="C27">
        <v>84.3</v>
      </c>
      <c r="D27">
        <v>3.52</v>
      </c>
      <c r="E27">
        <v>48.3</v>
      </c>
      <c r="F27">
        <v>88.4</v>
      </c>
    </row>
    <row r="28" spans="1:6" x14ac:dyDescent="0.35">
      <c r="A28" t="s">
        <v>22</v>
      </c>
      <c r="B28">
        <v>2023</v>
      </c>
      <c r="C28">
        <v>85.1</v>
      </c>
      <c r="D28">
        <v>3.46</v>
      </c>
      <c r="E28">
        <v>46.5</v>
      </c>
      <c r="F28">
        <v>89</v>
      </c>
    </row>
    <row r="29" spans="1:6" x14ac:dyDescent="0.35">
      <c r="A29" t="s">
        <v>23</v>
      </c>
      <c r="B29">
        <v>2015</v>
      </c>
      <c r="C29">
        <v>72.400000000000006</v>
      </c>
      <c r="D29">
        <v>4.05</v>
      </c>
      <c r="E29">
        <v>71</v>
      </c>
      <c r="F29">
        <v>80.8</v>
      </c>
    </row>
    <row r="30" spans="1:6" x14ac:dyDescent="0.35">
      <c r="A30" t="s">
        <v>23</v>
      </c>
      <c r="B30">
        <v>2016</v>
      </c>
      <c r="C30">
        <v>73.2</v>
      </c>
      <c r="D30">
        <v>4</v>
      </c>
      <c r="E30">
        <v>67.3</v>
      </c>
      <c r="F30">
        <v>81.5</v>
      </c>
    </row>
    <row r="31" spans="1:6" x14ac:dyDescent="0.35">
      <c r="A31" t="s">
        <v>23</v>
      </c>
      <c r="B31">
        <v>2017</v>
      </c>
      <c r="C31">
        <v>73.5</v>
      </c>
      <c r="D31">
        <v>3.94</v>
      </c>
      <c r="E31">
        <v>64.3</v>
      </c>
      <c r="F31">
        <v>82</v>
      </c>
    </row>
    <row r="32" spans="1:6" x14ac:dyDescent="0.35">
      <c r="A32" t="s">
        <v>23</v>
      </c>
      <c r="B32">
        <v>2018</v>
      </c>
      <c r="C32">
        <v>74.099999999999994</v>
      </c>
      <c r="D32">
        <v>3.9</v>
      </c>
      <c r="E32">
        <v>62.1</v>
      </c>
      <c r="F32">
        <v>82.8</v>
      </c>
    </row>
    <row r="33" spans="1:6" x14ac:dyDescent="0.35">
      <c r="A33" t="s">
        <v>23</v>
      </c>
      <c r="B33">
        <v>2019</v>
      </c>
      <c r="C33">
        <v>74.900000000000006</v>
      </c>
      <c r="D33">
        <v>3.87</v>
      </c>
      <c r="E33">
        <v>58.7</v>
      </c>
      <c r="F33">
        <v>83.5</v>
      </c>
    </row>
    <row r="34" spans="1:6" x14ac:dyDescent="0.35">
      <c r="A34" t="s">
        <v>23</v>
      </c>
      <c r="B34">
        <v>2020</v>
      </c>
      <c r="C34">
        <v>75.7</v>
      </c>
      <c r="D34">
        <v>3.84</v>
      </c>
      <c r="E34">
        <v>56.4</v>
      </c>
      <c r="F34">
        <v>83.9</v>
      </c>
    </row>
    <row r="35" spans="1:6" x14ac:dyDescent="0.35">
      <c r="A35" t="s">
        <v>23</v>
      </c>
      <c r="B35">
        <v>2021</v>
      </c>
      <c r="C35">
        <v>76.599999999999994</v>
      </c>
      <c r="D35">
        <v>3.76</v>
      </c>
      <c r="E35">
        <v>53.3</v>
      </c>
      <c r="F35">
        <v>84.2</v>
      </c>
    </row>
    <row r="36" spans="1:6" x14ac:dyDescent="0.35">
      <c r="A36" t="s">
        <v>23</v>
      </c>
      <c r="B36">
        <v>2022</v>
      </c>
      <c r="C36">
        <v>77</v>
      </c>
      <c r="D36">
        <v>3.72</v>
      </c>
      <c r="E36">
        <v>51.5</v>
      </c>
      <c r="F36">
        <v>84.8</v>
      </c>
    </row>
    <row r="37" spans="1:6" x14ac:dyDescent="0.35">
      <c r="A37" t="s">
        <v>23</v>
      </c>
      <c r="B37">
        <v>2023</v>
      </c>
      <c r="C37">
        <v>77.5</v>
      </c>
      <c r="D37">
        <v>3.69</v>
      </c>
      <c r="E37">
        <v>49.6</v>
      </c>
      <c r="F37">
        <v>85.2</v>
      </c>
    </row>
    <row r="38" spans="1:6" x14ac:dyDescent="0.35">
      <c r="A38" t="s">
        <v>24</v>
      </c>
      <c r="B38">
        <v>2015</v>
      </c>
      <c r="C38">
        <v>55.8</v>
      </c>
      <c r="D38">
        <v>5.96</v>
      </c>
      <c r="E38">
        <v>117.2</v>
      </c>
      <c r="F38">
        <v>62.4</v>
      </c>
    </row>
    <row r="39" spans="1:6" x14ac:dyDescent="0.35">
      <c r="A39" t="s">
        <v>24</v>
      </c>
      <c r="B39">
        <v>2016</v>
      </c>
      <c r="C39">
        <v>56.1</v>
      </c>
      <c r="D39">
        <v>5.94</v>
      </c>
      <c r="E39">
        <v>115.1</v>
      </c>
      <c r="F39">
        <v>62.8</v>
      </c>
    </row>
    <row r="40" spans="1:6" x14ac:dyDescent="0.35">
      <c r="A40" t="s">
        <v>24</v>
      </c>
      <c r="B40">
        <v>2017</v>
      </c>
      <c r="C40">
        <v>56.5</v>
      </c>
      <c r="D40">
        <v>5.87</v>
      </c>
      <c r="E40">
        <v>112.3</v>
      </c>
      <c r="F40">
        <v>63.2</v>
      </c>
    </row>
    <row r="41" spans="1:6" x14ac:dyDescent="0.35">
      <c r="A41" t="s">
        <v>24</v>
      </c>
      <c r="B41">
        <v>2018</v>
      </c>
      <c r="C41">
        <v>57.3</v>
      </c>
      <c r="D41">
        <v>5.83</v>
      </c>
      <c r="E41">
        <v>110.3</v>
      </c>
      <c r="F41">
        <v>63.6</v>
      </c>
    </row>
    <row r="42" spans="1:6" x14ac:dyDescent="0.35">
      <c r="A42" t="s">
        <v>24</v>
      </c>
      <c r="B42">
        <v>2019</v>
      </c>
      <c r="C42">
        <v>58.1</v>
      </c>
      <c r="D42">
        <v>5.79</v>
      </c>
      <c r="E42">
        <v>108.2</v>
      </c>
      <c r="F42">
        <v>64.400000000000006</v>
      </c>
    </row>
    <row r="43" spans="1:6" x14ac:dyDescent="0.35">
      <c r="A43" t="s">
        <v>24</v>
      </c>
      <c r="B43">
        <v>2020</v>
      </c>
      <c r="C43">
        <v>58.8</v>
      </c>
      <c r="D43">
        <v>5.73</v>
      </c>
      <c r="E43">
        <v>104.4</v>
      </c>
      <c r="F43">
        <v>64.8</v>
      </c>
    </row>
    <row r="44" spans="1:6" x14ac:dyDescent="0.35">
      <c r="A44" t="s">
        <v>24</v>
      </c>
      <c r="B44">
        <v>2021</v>
      </c>
      <c r="C44">
        <v>59.5</v>
      </c>
      <c r="D44">
        <v>5.7</v>
      </c>
      <c r="E44">
        <v>100.5</v>
      </c>
      <c r="F44">
        <v>65.599999999999994</v>
      </c>
    </row>
    <row r="45" spans="1:6" x14ac:dyDescent="0.35">
      <c r="A45" t="s">
        <v>24</v>
      </c>
      <c r="B45">
        <v>2022</v>
      </c>
      <c r="C45">
        <v>60.2</v>
      </c>
      <c r="D45">
        <v>5.67</v>
      </c>
      <c r="E45">
        <v>96.6</v>
      </c>
      <c r="F45">
        <v>65.8</v>
      </c>
    </row>
    <row r="46" spans="1:6" x14ac:dyDescent="0.35">
      <c r="A46" t="s">
        <v>24</v>
      </c>
      <c r="B46">
        <v>2023</v>
      </c>
      <c r="C46">
        <v>60.8</v>
      </c>
      <c r="D46">
        <v>5.59</v>
      </c>
      <c r="E46">
        <v>94.3</v>
      </c>
      <c r="F46">
        <v>66.599999999999994</v>
      </c>
    </row>
    <row r="47" spans="1:6" x14ac:dyDescent="0.35">
      <c r="A47" t="s">
        <v>25</v>
      </c>
      <c r="B47">
        <v>2015</v>
      </c>
      <c r="C47">
        <v>77</v>
      </c>
      <c r="D47">
        <v>3.94</v>
      </c>
      <c r="E47">
        <v>69.7</v>
      </c>
      <c r="F47">
        <v>83.9</v>
      </c>
    </row>
    <row r="48" spans="1:6" x14ac:dyDescent="0.35">
      <c r="A48" t="s">
        <v>25</v>
      </c>
      <c r="B48">
        <v>2016</v>
      </c>
      <c r="C48">
        <v>77.599999999999994</v>
      </c>
      <c r="D48">
        <v>3.86</v>
      </c>
      <c r="E48">
        <v>67.900000000000006</v>
      </c>
      <c r="F48">
        <v>84.7</v>
      </c>
    </row>
    <row r="49" spans="1:6" x14ac:dyDescent="0.35">
      <c r="A49" t="s">
        <v>25</v>
      </c>
      <c r="B49">
        <v>2017</v>
      </c>
      <c r="C49">
        <v>78.400000000000006</v>
      </c>
      <c r="D49">
        <v>3.84</v>
      </c>
      <c r="E49">
        <v>64.8</v>
      </c>
      <c r="F49">
        <v>85.1</v>
      </c>
    </row>
    <row r="50" spans="1:6" x14ac:dyDescent="0.35">
      <c r="A50" t="s">
        <v>25</v>
      </c>
      <c r="B50">
        <v>2018</v>
      </c>
      <c r="C50">
        <v>79.099999999999994</v>
      </c>
      <c r="D50">
        <v>3.79</v>
      </c>
      <c r="E50">
        <v>63</v>
      </c>
      <c r="F50">
        <v>85.9</v>
      </c>
    </row>
    <row r="51" spans="1:6" x14ac:dyDescent="0.35">
      <c r="A51" t="s">
        <v>25</v>
      </c>
      <c r="B51">
        <v>2019</v>
      </c>
      <c r="C51">
        <v>80</v>
      </c>
      <c r="D51">
        <v>3.73</v>
      </c>
      <c r="E51">
        <v>60.5</v>
      </c>
      <c r="F51">
        <v>86.5</v>
      </c>
    </row>
    <row r="52" spans="1:6" x14ac:dyDescent="0.35">
      <c r="A52" t="s">
        <v>25</v>
      </c>
      <c r="B52">
        <v>2020</v>
      </c>
      <c r="C52">
        <v>80.599999999999994</v>
      </c>
      <c r="D52">
        <v>3.68</v>
      </c>
      <c r="E52">
        <v>57.9</v>
      </c>
      <c r="F52">
        <v>86.8</v>
      </c>
    </row>
    <row r="53" spans="1:6" x14ac:dyDescent="0.35">
      <c r="A53" t="s">
        <v>25</v>
      </c>
      <c r="B53">
        <v>2021</v>
      </c>
      <c r="C53">
        <v>81.5</v>
      </c>
      <c r="D53">
        <v>3.63</v>
      </c>
      <c r="E53">
        <v>56.1</v>
      </c>
      <c r="F53">
        <v>87.1</v>
      </c>
    </row>
    <row r="54" spans="1:6" x14ac:dyDescent="0.35">
      <c r="A54" t="s">
        <v>25</v>
      </c>
      <c r="B54">
        <v>2022</v>
      </c>
      <c r="C54">
        <v>82.1</v>
      </c>
      <c r="D54">
        <v>3.61</v>
      </c>
      <c r="E54">
        <v>52.9</v>
      </c>
      <c r="F54">
        <v>87.3</v>
      </c>
    </row>
    <row r="55" spans="1:6" x14ac:dyDescent="0.35">
      <c r="A55" t="s">
        <v>25</v>
      </c>
      <c r="B55">
        <v>2023</v>
      </c>
      <c r="C55">
        <v>82.4</v>
      </c>
      <c r="D55">
        <v>3.58</v>
      </c>
      <c r="E55">
        <v>49.4</v>
      </c>
      <c r="F55">
        <v>88</v>
      </c>
    </row>
    <row r="56" spans="1:6" x14ac:dyDescent="0.35">
      <c r="A56" t="s">
        <v>26</v>
      </c>
      <c r="B56">
        <v>2015</v>
      </c>
      <c r="C56">
        <v>74.900000000000006</v>
      </c>
      <c r="D56">
        <v>3.63</v>
      </c>
      <c r="E56">
        <v>65.900000000000006</v>
      </c>
      <c r="F56">
        <v>81.599999999999994</v>
      </c>
    </row>
    <row r="57" spans="1:6" x14ac:dyDescent="0.35">
      <c r="A57" t="s">
        <v>26</v>
      </c>
      <c r="B57">
        <v>2016</v>
      </c>
      <c r="C57">
        <v>75.599999999999994</v>
      </c>
      <c r="D57">
        <v>3.59</v>
      </c>
      <c r="E57">
        <v>63.5</v>
      </c>
      <c r="F57">
        <v>81.900000000000006</v>
      </c>
    </row>
    <row r="58" spans="1:6" x14ac:dyDescent="0.35">
      <c r="A58" t="s">
        <v>26</v>
      </c>
      <c r="B58">
        <v>2017</v>
      </c>
      <c r="C58">
        <v>75.900000000000006</v>
      </c>
      <c r="D58">
        <v>3.53</v>
      </c>
      <c r="E58">
        <v>60.2</v>
      </c>
      <c r="F58">
        <v>82.1</v>
      </c>
    </row>
    <row r="59" spans="1:6" x14ac:dyDescent="0.35">
      <c r="A59" t="s">
        <v>26</v>
      </c>
      <c r="B59">
        <v>2018</v>
      </c>
      <c r="C59">
        <v>76.400000000000006</v>
      </c>
      <c r="D59">
        <v>3.49</v>
      </c>
      <c r="E59">
        <v>56.7</v>
      </c>
      <c r="F59">
        <v>82.7</v>
      </c>
    </row>
    <row r="60" spans="1:6" x14ac:dyDescent="0.35">
      <c r="A60" t="s">
        <v>26</v>
      </c>
      <c r="B60">
        <v>2019</v>
      </c>
      <c r="C60">
        <v>77</v>
      </c>
      <c r="D60">
        <v>3.46</v>
      </c>
      <c r="E60">
        <v>53.7</v>
      </c>
      <c r="F60">
        <v>83.5</v>
      </c>
    </row>
    <row r="61" spans="1:6" x14ac:dyDescent="0.35">
      <c r="A61" t="s">
        <v>26</v>
      </c>
      <c r="B61">
        <v>2020</v>
      </c>
      <c r="C61">
        <v>78</v>
      </c>
      <c r="D61">
        <v>3.44</v>
      </c>
      <c r="E61">
        <v>50.9</v>
      </c>
      <c r="F61">
        <v>83.7</v>
      </c>
    </row>
    <row r="62" spans="1:6" x14ac:dyDescent="0.35">
      <c r="A62" t="s">
        <v>26</v>
      </c>
      <c r="B62">
        <v>2021</v>
      </c>
      <c r="C62">
        <v>78.900000000000006</v>
      </c>
      <c r="D62">
        <v>3.38</v>
      </c>
      <c r="E62">
        <v>48.4</v>
      </c>
      <c r="F62">
        <v>84.2</v>
      </c>
    </row>
    <row r="63" spans="1:6" x14ac:dyDescent="0.35">
      <c r="A63" t="s">
        <v>26</v>
      </c>
      <c r="B63">
        <v>2022</v>
      </c>
      <c r="C63">
        <v>79.3</v>
      </c>
      <c r="D63">
        <v>3.3</v>
      </c>
      <c r="E63">
        <v>44.6</v>
      </c>
      <c r="F63">
        <v>85</v>
      </c>
    </row>
    <row r="64" spans="1:6" x14ac:dyDescent="0.35">
      <c r="A64" t="s">
        <v>26</v>
      </c>
      <c r="B64">
        <v>2023</v>
      </c>
      <c r="C64">
        <v>80.2</v>
      </c>
      <c r="D64">
        <v>3.28</v>
      </c>
      <c r="E64">
        <v>40.9</v>
      </c>
      <c r="F64">
        <v>85.3</v>
      </c>
    </row>
    <row r="65" spans="1:6" x14ac:dyDescent="0.35">
      <c r="A65" t="s">
        <v>27</v>
      </c>
      <c r="B65">
        <v>2015</v>
      </c>
      <c r="C65">
        <v>81</v>
      </c>
      <c r="D65">
        <v>3.73</v>
      </c>
      <c r="E65">
        <v>61.3</v>
      </c>
      <c r="F65">
        <v>86.7</v>
      </c>
    </row>
    <row r="66" spans="1:6" x14ac:dyDescent="0.35">
      <c r="A66" t="s">
        <v>27</v>
      </c>
      <c r="B66">
        <v>2016</v>
      </c>
      <c r="C66">
        <v>81.900000000000006</v>
      </c>
      <c r="D66">
        <v>3.67</v>
      </c>
      <c r="E66">
        <v>57.5</v>
      </c>
      <c r="F66">
        <v>86.9</v>
      </c>
    </row>
    <row r="67" spans="1:6" x14ac:dyDescent="0.35">
      <c r="A67" t="s">
        <v>27</v>
      </c>
      <c r="B67">
        <v>2017</v>
      </c>
      <c r="C67">
        <v>82.7</v>
      </c>
      <c r="D67">
        <v>3.6</v>
      </c>
      <c r="E67">
        <v>53.8</v>
      </c>
      <c r="F67">
        <v>87.2</v>
      </c>
    </row>
    <row r="68" spans="1:6" x14ac:dyDescent="0.35">
      <c r="A68" t="s">
        <v>27</v>
      </c>
      <c r="B68">
        <v>2018</v>
      </c>
      <c r="C68">
        <v>83.3</v>
      </c>
      <c r="D68">
        <v>3.54</v>
      </c>
      <c r="E68">
        <v>51.7</v>
      </c>
      <c r="F68">
        <v>87.7</v>
      </c>
    </row>
    <row r="69" spans="1:6" x14ac:dyDescent="0.35">
      <c r="A69" t="s">
        <v>27</v>
      </c>
      <c r="B69">
        <v>2019</v>
      </c>
      <c r="C69">
        <v>84.2</v>
      </c>
      <c r="D69">
        <v>3.47</v>
      </c>
      <c r="E69">
        <v>48.6</v>
      </c>
      <c r="F69">
        <v>88.5</v>
      </c>
    </row>
    <row r="70" spans="1:6" x14ac:dyDescent="0.35">
      <c r="A70" t="s">
        <v>27</v>
      </c>
      <c r="B70">
        <v>2020</v>
      </c>
      <c r="C70">
        <v>84.6</v>
      </c>
      <c r="D70">
        <v>3.42</v>
      </c>
      <c r="E70">
        <v>46.8</v>
      </c>
      <c r="F70">
        <v>88.8</v>
      </c>
    </row>
    <row r="71" spans="1:6" x14ac:dyDescent="0.35">
      <c r="A71" t="s">
        <v>27</v>
      </c>
      <c r="B71">
        <v>2021</v>
      </c>
      <c r="C71">
        <v>85.3</v>
      </c>
      <c r="D71">
        <v>3.36</v>
      </c>
      <c r="E71">
        <v>44.7</v>
      </c>
      <c r="F71">
        <v>89.5</v>
      </c>
    </row>
    <row r="72" spans="1:6" x14ac:dyDescent="0.35">
      <c r="A72" t="s">
        <v>27</v>
      </c>
      <c r="B72">
        <v>2022</v>
      </c>
      <c r="C72">
        <v>86.2</v>
      </c>
      <c r="D72">
        <v>3.29</v>
      </c>
      <c r="E72">
        <v>41.7</v>
      </c>
      <c r="F72">
        <v>90.2</v>
      </c>
    </row>
    <row r="73" spans="1:6" x14ac:dyDescent="0.35">
      <c r="A73" t="s">
        <v>27</v>
      </c>
      <c r="B73">
        <v>2023</v>
      </c>
      <c r="C73">
        <v>86.7</v>
      </c>
      <c r="D73">
        <v>3.24</v>
      </c>
      <c r="E73">
        <v>38.5</v>
      </c>
      <c r="F73">
        <v>90.4</v>
      </c>
    </row>
    <row r="74" spans="1:6" x14ac:dyDescent="0.35">
      <c r="A74" t="s">
        <v>28</v>
      </c>
      <c r="B74">
        <v>2015</v>
      </c>
      <c r="C74">
        <v>75.3</v>
      </c>
      <c r="D74">
        <v>3.86</v>
      </c>
      <c r="E74">
        <v>66.5</v>
      </c>
      <c r="F74">
        <v>82.5</v>
      </c>
    </row>
    <row r="75" spans="1:6" x14ac:dyDescent="0.35">
      <c r="A75" t="s">
        <v>28</v>
      </c>
      <c r="B75">
        <v>2016</v>
      </c>
      <c r="C75">
        <v>76.2</v>
      </c>
      <c r="D75">
        <v>3.82</v>
      </c>
      <c r="E75">
        <v>64.2</v>
      </c>
      <c r="F75">
        <v>83.3</v>
      </c>
    </row>
    <row r="76" spans="1:6" x14ac:dyDescent="0.35">
      <c r="A76" t="s">
        <v>28</v>
      </c>
      <c r="B76">
        <v>2017</v>
      </c>
      <c r="C76">
        <v>76.8</v>
      </c>
      <c r="D76">
        <v>3.77</v>
      </c>
      <c r="E76">
        <v>60.7</v>
      </c>
      <c r="F76">
        <v>83.8</v>
      </c>
    </row>
    <row r="77" spans="1:6" x14ac:dyDescent="0.35">
      <c r="A77" t="s">
        <v>28</v>
      </c>
      <c r="B77">
        <v>2018</v>
      </c>
      <c r="C77">
        <v>77.099999999999994</v>
      </c>
      <c r="D77">
        <v>3.72</v>
      </c>
      <c r="E77">
        <v>58.3</v>
      </c>
      <c r="F77">
        <v>84.3</v>
      </c>
    </row>
    <row r="78" spans="1:6" x14ac:dyDescent="0.35">
      <c r="A78" t="s">
        <v>28</v>
      </c>
      <c r="B78">
        <v>2019</v>
      </c>
      <c r="C78">
        <v>77.599999999999994</v>
      </c>
      <c r="D78">
        <v>3.66</v>
      </c>
      <c r="E78">
        <v>55.6</v>
      </c>
      <c r="F78">
        <v>85</v>
      </c>
    </row>
    <row r="79" spans="1:6" x14ac:dyDescent="0.35">
      <c r="A79" t="s">
        <v>28</v>
      </c>
      <c r="B79">
        <v>2020</v>
      </c>
      <c r="C79">
        <v>78.2</v>
      </c>
      <c r="D79">
        <v>3.62</v>
      </c>
      <c r="E79">
        <v>52.8</v>
      </c>
      <c r="F79">
        <v>85.8</v>
      </c>
    </row>
    <row r="80" spans="1:6" x14ac:dyDescent="0.35">
      <c r="A80" t="s">
        <v>28</v>
      </c>
      <c r="B80">
        <v>2021</v>
      </c>
      <c r="C80">
        <v>79.099999999999994</v>
      </c>
      <c r="D80">
        <v>3.59</v>
      </c>
      <c r="E80">
        <v>51.1</v>
      </c>
      <c r="F80">
        <v>86.2</v>
      </c>
    </row>
    <row r="81" spans="1:6" x14ac:dyDescent="0.35">
      <c r="A81" t="s">
        <v>28</v>
      </c>
      <c r="B81">
        <v>2022</v>
      </c>
      <c r="C81">
        <v>79.900000000000006</v>
      </c>
      <c r="D81">
        <v>3.53</v>
      </c>
      <c r="E81">
        <v>47.7</v>
      </c>
      <c r="F81">
        <v>86.8</v>
      </c>
    </row>
    <row r="82" spans="1:6" x14ac:dyDescent="0.35">
      <c r="A82" t="s">
        <v>28</v>
      </c>
      <c r="B82">
        <v>2023</v>
      </c>
      <c r="C82">
        <v>80.5</v>
      </c>
      <c r="D82">
        <v>3.47</v>
      </c>
      <c r="E82">
        <v>44.3</v>
      </c>
      <c r="F82">
        <v>87.4</v>
      </c>
    </row>
    <row r="83" spans="1:6" x14ac:dyDescent="0.35">
      <c r="A83" t="s">
        <v>29</v>
      </c>
      <c r="B83">
        <v>2015</v>
      </c>
      <c r="C83">
        <v>68.3</v>
      </c>
      <c r="D83">
        <v>5.16</v>
      </c>
      <c r="E83">
        <v>92.4</v>
      </c>
      <c r="F83">
        <v>72.400000000000006</v>
      </c>
    </row>
    <row r="84" spans="1:6" x14ac:dyDescent="0.35">
      <c r="A84" t="s">
        <v>29</v>
      </c>
      <c r="B84">
        <v>2016</v>
      </c>
      <c r="C84">
        <v>68.7</v>
      </c>
      <c r="D84">
        <v>5.0999999999999996</v>
      </c>
      <c r="E84">
        <v>90.8</v>
      </c>
      <c r="F84">
        <v>73</v>
      </c>
    </row>
    <row r="85" spans="1:6" x14ac:dyDescent="0.35">
      <c r="A85" t="s">
        <v>29</v>
      </c>
      <c r="B85">
        <v>2017</v>
      </c>
      <c r="C85">
        <v>69</v>
      </c>
      <c r="D85">
        <v>5.0599999999999996</v>
      </c>
      <c r="E85">
        <v>86.9</v>
      </c>
      <c r="F85">
        <v>73.8</v>
      </c>
    </row>
    <row r="86" spans="1:6" x14ac:dyDescent="0.35">
      <c r="A86" t="s">
        <v>29</v>
      </c>
      <c r="B86">
        <v>2018</v>
      </c>
      <c r="C86">
        <v>69.599999999999994</v>
      </c>
      <c r="D86">
        <v>5.03</v>
      </c>
      <c r="E86">
        <v>83</v>
      </c>
      <c r="F86">
        <v>74.7</v>
      </c>
    </row>
    <row r="87" spans="1:6" x14ac:dyDescent="0.35">
      <c r="A87" t="s">
        <v>29</v>
      </c>
      <c r="B87">
        <v>2019</v>
      </c>
      <c r="C87">
        <v>70.2</v>
      </c>
      <c r="D87">
        <v>5.01</v>
      </c>
      <c r="E87">
        <v>81.2</v>
      </c>
      <c r="F87">
        <v>75.5</v>
      </c>
    </row>
    <row r="88" spans="1:6" x14ac:dyDescent="0.35">
      <c r="A88" t="s">
        <v>29</v>
      </c>
      <c r="B88">
        <v>2020</v>
      </c>
      <c r="C88">
        <v>70.599999999999994</v>
      </c>
      <c r="D88">
        <v>4.97</v>
      </c>
      <c r="E88">
        <v>79</v>
      </c>
      <c r="F88">
        <v>75.900000000000006</v>
      </c>
    </row>
    <row r="89" spans="1:6" x14ac:dyDescent="0.35">
      <c r="A89" t="s">
        <v>29</v>
      </c>
      <c r="B89">
        <v>2021</v>
      </c>
      <c r="C89">
        <v>70.900000000000006</v>
      </c>
      <c r="D89">
        <v>4.95</v>
      </c>
      <c r="E89">
        <v>77.099999999999994</v>
      </c>
      <c r="F89">
        <v>76.5</v>
      </c>
    </row>
    <row r="90" spans="1:6" x14ac:dyDescent="0.35">
      <c r="A90" t="s">
        <v>29</v>
      </c>
      <c r="B90">
        <v>2022</v>
      </c>
      <c r="C90">
        <v>71.400000000000006</v>
      </c>
      <c r="D90">
        <v>4.88</v>
      </c>
      <c r="E90">
        <v>74.5</v>
      </c>
      <c r="F90">
        <v>77.2</v>
      </c>
    </row>
    <row r="91" spans="1:6" x14ac:dyDescent="0.35">
      <c r="A91" t="s">
        <v>29</v>
      </c>
      <c r="B91">
        <v>2023</v>
      </c>
      <c r="C91">
        <v>71.900000000000006</v>
      </c>
      <c r="D91">
        <v>4.8499999999999996</v>
      </c>
      <c r="E91">
        <v>70.599999999999994</v>
      </c>
      <c r="F91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14"/>
  <sheetViews>
    <sheetView workbookViewId="0">
      <selection activeCell="N4" sqref="N4"/>
    </sheetView>
  </sheetViews>
  <sheetFormatPr defaultRowHeight="14.5" x14ac:dyDescent="0.35"/>
  <cols>
    <col min="1" max="1" width="21.54296875" bestFit="1" customWidth="1"/>
    <col min="2" max="2" width="7.453125" bestFit="1" customWidth="1"/>
    <col min="3" max="3" width="5.08984375" bestFit="1" customWidth="1"/>
    <col min="4" max="5" width="5.81640625" bestFit="1" customWidth="1"/>
    <col min="6" max="6" width="10.7265625" bestFit="1" customWidth="1"/>
    <col min="7" max="9" width="5.81640625" bestFit="1" customWidth="1"/>
    <col min="10" max="10" width="7.1796875" bestFit="1" customWidth="1"/>
    <col min="11" max="11" width="5.81640625" bestFit="1" customWidth="1"/>
    <col min="12" max="12" width="10.7265625" bestFit="1" customWidth="1"/>
  </cols>
  <sheetData>
    <row r="3" spans="1:14" x14ac:dyDescent="0.35">
      <c r="A3" s="4" t="s">
        <v>45</v>
      </c>
      <c r="B3" s="4" t="s">
        <v>31</v>
      </c>
    </row>
    <row r="4" spans="1:14" x14ac:dyDescent="0.35">
      <c r="A4" s="4" t="s">
        <v>46</v>
      </c>
      <c r="B4" t="s">
        <v>24</v>
      </c>
      <c r="C4" t="s">
        <v>21</v>
      </c>
      <c r="D4" t="s">
        <v>20</v>
      </c>
      <c r="E4" t="s">
        <v>22</v>
      </c>
      <c r="F4" t="s">
        <v>44</v>
      </c>
      <c r="N4" t="s">
        <v>47</v>
      </c>
    </row>
    <row r="5" spans="1:14" x14ac:dyDescent="0.35">
      <c r="A5" s="5">
        <v>2015</v>
      </c>
      <c r="B5" s="6">
        <v>55.8</v>
      </c>
      <c r="C5" s="6">
        <v>48.9</v>
      </c>
      <c r="D5" s="6">
        <v>85.3</v>
      </c>
      <c r="E5" s="6">
        <v>78.900000000000006</v>
      </c>
      <c r="F5" s="6">
        <v>268.89999999999998</v>
      </c>
    </row>
    <row r="6" spans="1:14" x14ac:dyDescent="0.35">
      <c r="A6" s="5">
        <v>2016</v>
      </c>
      <c r="B6" s="6">
        <v>56.1</v>
      </c>
      <c r="C6" s="6">
        <v>49.5</v>
      </c>
      <c r="D6" s="6">
        <v>85.8</v>
      </c>
      <c r="E6" s="6">
        <v>79.599999999999994</v>
      </c>
      <c r="F6" s="6">
        <v>271</v>
      </c>
    </row>
    <row r="7" spans="1:14" x14ac:dyDescent="0.35">
      <c r="A7" s="5">
        <v>2017</v>
      </c>
      <c r="B7" s="6">
        <v>56.5</v>
      </c>
      <c r="C7" s="6">
        <v>50.4</v>
      </c>
      <c r="D7" s="6">
        <v>86.3</v>
      </c>
      <c r="E7" s="6">
        <v>80.5</v>
      </c>
      <c r="F7" s="6">
        <v>273.7</v>
      </c>
    </row>
    <row r="8" spans="1:14" x14ac:dyDescent="0.35">
      <c r="A8" s="5">
        <v>2018</v>
      </c>
      <c r="B8" s="6">
        <v>57.3</v>
      </c>
      <c r="C8" s="6">
        <v>51.2</v>
      </c>
      <c r="D8" s="6">
        <v>86.7</v>
      </c>
      <c r="E8" s="6">
        <v>81.2</v>
      </c>
      <c r="F8" s="6">
        <v>276.39999999999998</v>
      </c>
    </row>
    <row r="9" spans="1:14" x14ac:dyDescent="0.35">
      <c r="A9" s="5">
        <v>2019</v>
      </c>
      <c r="B9" s="6">
        <v>58.1</v>
      </c>
      <c r="C9" s="6">
        <v>51.8</v>
      </c>
      <c r="D9" s="6">
        <v>87.5</v>
      </c>
      <c r="E9" s="6">
        <v>82.2</v>
      </c>
      <c r="F9" s="6">
        <v>279.60000000000002</v>
      </c>
    </row>
    <row r="10" spans="1:14" x14ac:dyDescent="0.35">
      <c r="A10" s="5">
        <v>2020</v>
      </c>
      <c r="B10" s="6">
        <v>58.8</v>
      </c>
      <c r="C10" s="6">
        <v>52.2</v>
      </c>
      <c r="D10" s="6">
        <v>88.1</v>
      </c>
      <c r="E10" s="6">
        <v>82.7</v>
      </c>
      <c r="F10" s="6">
        <v>281.8</v>
      </c>
    </row>
    <row r="11" spans="1:14" x14ac:dyDescent="0.35">
      <c r="A11" s="5">
        <v>2021</v>
      </c>
      <c r="B11" s="6">
        <v>59.5</v>
      </c>
      <c r="C11" s="6">
        <v>53.1</v>
      </c>
      <c r="D11" s="6">
        <v>89</v>
      </c>
      <c r="E11" s="6">
        <v>83.6</v>
      </c>
      <c r="F11" s="6">
        <v>285.2</v>
      </c>
    </row>
    <row r="12" spans="1:14" x14ac:dyDescent="0.35">
      <c r="A12" s="5">
        <v>2022</v>
      </c>
      <c r="B12" s="6">
        <v>60.2</v>
      </c>
      <c r="C12" s="6">
        <v>54</v>
      </c>
      <c r="D12" s="6">
        <v>89.6</v>
      </c>
      <c r="E12" s="6">
        <v>84.3</v>
      </c>
      <c r="F12" s="6">
        <v>288.10000000000002</v>
      </c>
    </row>
    <row r="13" spans="1:14" x14ac:dyDescent="0.35">
      <c r="A13" s="5">
        <v>2023</v>
      </c>
      <c r="B13" s="6">
        <v>60.8</v>
      </c>
      <c r="C13" s="6">
        <v>54.9</v>
      </c>
      <c r="D13" s="6">
        <v>90.2</v>
      </c>
      <c r="E13" s="6">
        <v>85.1</v>
      </c>
      <c r="F13" s="6">
        <v>291</v>
      </c>
    </row>
    <row r="14" spans="1:14" x14ac:dyDescent="0.35">
      <c r="A14" s="5" t="s">
        <v>44</v>
      </c>
      <c r="B14" s="6">
        <v>523.1</v>
      </c>
      <c r="C14" s="6">
        <v>466</v>
      </c>
      <c r="D14" s="6">
        <v>788.5</v>
      </c>
      <c r="E14" s="6">
        <v>738.09999999999991</v>
      </c>
      <c r="F14" s="6">
        <v>2515.6999999999998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M17" sqref="M17"/>
    </sheetView>
  </sheetViews>
  <sheetFormatPr defaultRowHeight="14.5" x14ac:dyDescent="0.35"/>
  <cols>
    <col min="2" max="2" width="16.6328125" bestFit="1" customWidth="1"/>
    <col min="3" max="3" width="16.453125" bestFit="1" customWidth="1"/>
    <col min="4" max="4" width="22.6328125" bestFit="1" customWidth="1"/>
    <col min="5" max="5" width="16.26953125" bestFit="1" customWidth="1"/>
  </cols>
  <sheetData>
    <row r="1" spans="1:5" x14ac:dyDescent="0.35">
      <c r="A1" s="1" t="s">
        <v>31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35">
      <c r="A2" s="2" t="s">
        <v>27</v>
      </c>
      <c r="B2" s="2">
        <v>7.04</v>
      </c>
      <c r="C2" s="2">
        <v>-13.14</v>
      </c>
      <c r="D2" s="2">
        <v>-37.19</v>
      </c>
      <c r="E2" s="2">
        <v>4.2699999999999996</v>
      </c>
    </row>
    <row r="3" spans="1:5" x14ac:dyDescent="0.35">
      <c r="A3" s="2" t="s">
        <v>43</v>
      </c>
      <c r="B3" s="2">
        <v>7.08</v>
      </c>
      <c r="C3" s="2">
        <v>-9.64</v>
      </c>
      <c r="D3" s="2">
        <v>-37.94</v>
      </c>
      <c r="E3" s="2">
        <v>4.53</v>
      </c>
    </row>
    <row r="4" spans="1:5" x14ac:dyDescent="0.35">
      <c r="A4" s="2" t="s">
        <v>25</v>
      </c>
      <c r="B4" s="2">
        <v>7.01</v>
      </c>
      <c r="C4" s="2">
        <v>-9.14</v>
      </c>
      <c r="D4" s="2">
        <v>-29.12</v>
      </c>
      <c r="E4" s="2">
        <v>4.8899999999999997</v>
      </c>
    </row>
    <row r="5" spans="1:5" x14ac:dyDescent="0.35">
      <c r="A5" s="2" t="s">
        <v>24</v>
      </c>
      <c r="B5" s="2">
        <v>8.9600000000000009</v>
      </c>
      <c r="C5" s="2">
        <v>-6.21</v>
      </c>
      <c r="D5" s="2">
        <v>-19.54</v>
      </c>
      <c r="E5" s="2">
        <v>6.73</v>
      </c>
    </row>
    <row r="6" spans="1:5" x14ac:dyDescent="0.35">
      <c r="A6" s="2" t="s">
        <v>21</v>
      </c>
      <c r="B6" s="2">
        <v>12.27</v>
      </c>
      <c r="C6" s="2">
        <v>-6.95</v>
      </c>
      <c r="D6" s="2">
        <v>-17.809999999999999</v>
      </c>
      <c r="E6" s="2">
        <v>6.81</v>
      </c>
    </row>
    <row r="7" spans="1:5" x14ac:dyDescent="0.35">
      <c r="A7" s="2" t="s">
        <v>20</v>
      </c>
      <c r="B7" s="2">
        <v>5.74</v>
      </c>
      <c r="C7" s="2">
        <v>-11.31</v>
      </c>
      <c r="D7" s="2">
        <v>-40.43</v>
      </c>
      <c r="E7" s="2">
        <v>5.53</v>
      </c>
    </row>
    <row r="8" spans="1:5" x14ac:dyDescent="0.35">
      <c r="A8" s="2" t="s">
        <v>28</v>
      </c>
      <c r="B8" s="2">
        <v>6.91</v>
      </c>
      <c r="C8" s="2">
        <v>-10.1</v>
      </c>
      <c r="D8" s="2">
        <v>-33.380000000000003</v>
      </c>
      <c r="E8" s="2">
        <v>5.94</v>
      </c>
    </row>
    <row r="9" spans="1:5" x14ac:dyDescent="0.35">
      <c r="A9" s="2" t="s">
        <v>23</v>
      </c>
      <c r="B9" s="2">
        <v>7.04</v>
      </c>
      <c r="C9" s="2">
        <v>-8.89</v>
      </c>
      <c r="D9" s="2">
        <v>-30.14</v>
      </c>
      <c r="E9" s="2">
        <v>5.45</v>
      </c>
    </row>
    <row r="10" spans="1:5" x14ac:dyDescent="0.35">
      <c r="A10" s="2" t="s">
        <v>29</v>
      </c>
      <c r="B10" s="2">
        <v>5.27</v>
      </c>
      <c r="C10" s="2">
        <v>-6.01</v>
      </c>
      <c r="D10" s="2">
        <v>-23.59</v>
      </c>
      <c r="E10" s="2">
        <v>7.73</v>
      </c>
    </row>
    <row r="11" spans="1:5" x14ac:dyDescent="0.35">
      <c r="A11" s="2" t="s">
        <v>22</v>
      </c>
      <c r="B11" s="2">
        <v>7.86</v>
      </c>
      <c r="C11" s="2">
        <v>-10.36</v>
      </c>
      <c r="D11" s="2">
        <v>-31.11</v>
      </c>
      <c r="E11" s="2">
        <v>4.46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A2" sqref="A2:A11"/>
    </sheetView>
  </sheetViews>
  <sheetFormatPr defaultRowHeight="14.5" x14ac:dyDescent="0.35"/>
  <cols>
    <col min="2" max="2" width="18.7265625" bestFit="1" customWidth="1"/>
    <col min="3" max="3" width="23.1796875" bestFit="1" customWidth="1"/>
    <col min="5" max="5" width="10.1796875" bestFit="1" customWidth="1"/>
  </cols>
  <sheetData>
    <row r="1" spans="1:6" x14ac:dyDescent="0.35">
      <c r="A1" s="1" t="s">
        <v>31</v>
      </c>
      <c r="B1" s="1" t="s">
        <v>41</v>
      </c>
      <c r="C1" s="1" t="s">
        <v>42</v>
      </c>
    </row>
    <row r="2" spans="1:6" x14ac:dyDescent="0.35">
      <c r="A2" s="2" t="s">
        <v>27</v>
      </c>
      <c r="B2" s="2">
        <v>86.7</v>
      </c>
      <c r="C2" s="2">
        <v>38.5</v>
      </c>
    </row>
    <row r="3" spans="1:6" x14ac:dyDescent="0.35">
      <c r="A3" s="2" t="s">
        <v>43</v>
      </c>
      <c r="B3" s="2">
        <v>80.2</v>
      </c>
      <c r="C3" s="2">
        <v>40.9</v>
      </c>
      <c r="E3" t="s">
        <v>33</v>
      </c>
      <c r="F3" s="3">
        <f>CORREL(B2:B11,C2:C11)</f>
        <v>-0.97782683601956033</v>
      </c>
    </row>
    <row r="4" spans="1:6" x14ac:dyDescent="0.35">
      <c r="A4" s="2" t="s">
        <v>25</v>
      </c>
      <c r="B4" s="2">
        <v>82.4</v>
      </c>
      <c r="C4" s="2">
        <v>49.4</v>
      </c>
    </row>
    <row r="5" spans="1:6" x14ac:dyDescent="0.35">
      <c r="A5" s="2" t="s">
        <v>24</v>
      </c>
      <c r="B5" s="2">
        <v>60.8</v>
      </c>
      <c r="C5" s="2">
        <v>94.3</v>
      </c>
      <c r="E5" t="s">
        <v>34</v>
      </c>
    </row>
    <row r="6" spans="1:6" x14ac:dyDescent="0.35">
      <c r="A6" s="2" t="s">
        <v>21</v>
      </c>
      <c r="B6" s="2">
        <v>54.9</v>
      </c>
      <c r="C6" s="2">
        <v>112.6</v>
      </c>
      <c r="E6" t="s">
        <v>35</v>
      </c>
    </row>
    <row r="7" spans="1:6" x14ac:dyDescent="0.35">
      <c r="A7" s="2" t="s">
        <v>20</v>
      </c>
      <c r="B7" s="2">
        <v>90.2</v>
      </c>
      <c r="C7" s="2">
        <v>30.8</v>
      </c>
      <c r="E7" t="s">
        <v>36</v>
      </c>
    </row>
    <row r="8" spans="1:6" x14ac:dyDescent="0.35">
      <c r="A8" s="2" t="s">
        <v>28</v>
      </c>
      <c r="B8" s="2">
        <v>80.5</v>
      </c>
      <c r="C8" s="2">
        <v>44.3</v>
      </c>
    </row>
    <row r="9" spans="1:6" x14ac:dyDescent="0.35">
      <c r="A9" s="2" t="s">
        <v>23</v>
      </c>
      <c r="B9" s="2">
        <v>77.5</v>
      </c>
      <c r="C9" s="2">
        <v>49.6</v>
      </c>
    </row>
    <row r="10" spans="1:6" x14ac:dyDescent="0.35">
      <c r="A10" s="2" t="s">
        <v>29</v>
      </c>
      <c r="B10" s="2">
        <v>71.900000000000006</v>
      </c>
      <c r="C10" s="2">
        <v>70.599999999999994</v>
      </c>
    </row>
    <row r="11" spans="1:6" x14ac:dyDescent="0.35">
      <c r="A11" s="2" t="s">
        <v>22</v>
      </c>
      <c r="B11" s="2">
        <v>85.1</v>
      </c>
      <c r="C11" s="2">
        <v>46.5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E9" sqref="E9"/>
    </sheetView>
  </sheetViews>
  <sheetFormatPr defaultRowHeight="14.5" x14ac:dyDescent="0.35"/>
  <cols>
    <col min="3" max="3" width="19" bestFit="1" customWidth="1"/>
    <col min="4" max="4" width="16.26953125" bestFit="1" customWidth="1"/>
  </cols>
  <sheetData>
    <row r="1" spans="1:4" x14ac:dyDescent="0.35">
      <c r="A1" s="1" t="s">
        <v>30</v>
      </c>
      <c r="B1" s="1" t="s">
        <v>31</v>
      </c>
      <c r="C1" s="1" t="s">
        <v>32</v>
      </c>
      <c r="D1" s="1" t="s">
        <v>40</v>
      </c>
    </row>
    <row r="2" spans="1:4" x14ac:dyDescent="0.35">
      <c r="A2" s="2">
        <v>1</v>
      </c>
      <c r="B2" s="2" t="s">
        <v>29</v>
      </c>
      <c r="C2" s="2">
        <v>5.6</v>
      </c>
      <c r="D2" s="2">
        <v>7.73</v>
      </c>
    </row>
    <row r="3" spans="1:4" x14ac:dyDescent="0.35">
      <c r="A3" s="2">
        <v>2</v>
      </c>
      <c r="B3" s="2" t="s">
        <v>21</v>
      </c>
      <c r="C3" s="2">
        <v>4</v>
      </c>
      <c r="D3" s="2">
        <v>6.81</v>
      </c>
    </row>
    <row r="4" spans="1:4" x14ac:dyDescent="0.35">
      <c r="A4" s="2">
        <v>3</v>
      </c>
      <c r="B4" s="2" t="s">
        <v>24</v>
      </c>
      <c r="C4" s="2">
        <v>4.2</v>
      </c>
      <c r="D4" s="2">
        <v>6.73</v>
      </c>
    </row>
    <row r="5" spans="1:4" x14ac:dyDescent="0.35">
      <c r="A5" s="2">
        <v>4</v>
      </c>
      <c r="B5" s="2" t="s">
        <v>28</v>
      </c>
      <c r="C5" s="2">
        <v>4.9000000000000004</v>
      </c>
      <c r="D5" s="2">
        <v>5.94</v>
      </c>
    </row>
    <row r="6" spans="1:4" x14ac:dyDescent="0.35">
      <c r="A6" s="2">
        <v>5</v>
      </c>
      <c r="B6" s="2" t="s">
        <v>20</v>
      </c>
      <c r="C6" s="2">
        <v>5.0999999999999996</v>
      </c>
      <c r="D6" s="2">
        <v>5.53</v>
      </c>
    </row>
    <row r="7" spans="1:4" x14ac:dyDescent="0.35">
      <c r="A7" s="2">
        <v>6</v>
      </c>
      <c r="B7" s="2" t="s">
        <v>23</v>
      </c>
      <c r="C7" s="2">
        <v>4.4000000000000004</v>
      </c>
      <c r="D7" s="2">
        <v>5.45</v>
      </c>
    </row>
    <row r="8" spans="1:4" x14ac:dyDescent="0.35">
      <c r="A8" s="2">
        <v>7</v>
      </c>
      <c r="B8" s="2" t="s">
        <v>25</v>
      </c>
      <c r="C8" s="2">
        <v>4.0999999999999996</v>
      </c>
      <c r="D8" s="2">
        <v>4.8899999999999997</v>
      </c>
    </row>
    <row r="9" spans="1:4" x14ac:dyDescent="0.35">
      <c r="A9" s="2">
        <v>8</v>
      </c>
      <c r="B9" s="2" t="s">
        <v>26</v>
      </c>
      <c r="C9" s="2">
        <v>3.7</v>
      </c>
      <c r="D9" s="2">
        <v>4.53</v>
      </c>
    </row>
    <row r="10" spans="1:4" x14ac:dyDescent="0.35">
      <c r="A10" s="2">
        <v>9</v>
      </c>
      <c r="B10" s="2" t="s">
        <v>22</v>
      </c>
      <c r="C10" s="2">
        <v>3.8</v>
      </c>
      <c r="D10" s="2">
        <v>4.46</v>
      </c>
    </row>
    <row r="11" spans="1:4" x14ac:dyDescent="0.35">
      <c r="A11" s="2">
        <v>10</v>
      </c>
      <c r="B11" s="2" t="s">
        <v>27</v>
      </c>
      <c r="C11" s="2">
        <v>3.7</v>
      </c>
      <c r="D11" s="2">
        <v>4.2699999999999996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5"/>
  <sheetViews>
    <sheetView tabSelected="1" workbookViewId="0">
      <selection activeCell="B21" sqref="B21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Literacy_Trend</vt:lpstr>
      <vt:lpstr>Percentage_Change</vt:lpstr>
      <vt:lpstr>Correlation</vt:lpstr>
      <vt:lpstr>Enrolment_Ranking</vt:lpstr>
      <vt:lpstr>Written 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Martins</dc:creator>
  <cp:lastModifiedBy>Francis Martins</cp:lastModifiedBy>
  <dcterms:created xsi:type="dcterms:W3CDTF">2026-08-08T01:54:42Z</dcterms:created>
  <dcterms:modified xsi:type="dcterms:W3CDTF">2026-08-11T12:42:19Z</dcterms:modified>
</cp:coreProperties>
</file>